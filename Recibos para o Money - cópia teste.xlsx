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https://ballistacapital-my.sharepoint.com/personal/euben_ballistacapital_com_br/Documents/Pessoal novo/Money/Gerando OFX/ofxfromexcel/"/>
    </mc:Choice>
  </mc:AlternateContent>
  <xr:revisionPtr revIDLastSave="376" documentId="8_{A8081885-F8BB-324E-B924-F572293B84DF}" xr6:coauthVersionLast="47" xr6:coauthVersionMax="47" xr10:uidLastSave="{28EDC40A-5D45-4181-BEC9-134DB5C3EB1C}"/>
  <bookViews>
    <workbookView xWindow="-120" yWindow="-120" windowWidth="20730" windowHeight="11040" xr2:uid="{00000000-000D-0000-FFFF-FFFF00000000}"/>
  </bookViews>
  <sheets>
    <sheet name="Sheet1" sheetId="1" r:id="rId1"/>
    <sheet name="Painel" sheetId="2" r:id="rId2"/>
  </sheets>
  <definedNames>
    <definedName name="_xlnm._FilterDatabase" localSheetId="0" hidden="1">Sheet1!$A$1:$H$29</definedName>
    <definedName name="Fim">Painel!$B$3</definedName>
    <definedName name="Início">Painel!$B$2</definedName>
    <definedName name="NativeTimeline_Data">#N/A</definedName>
  </definedNames>
  <calcPr calcId="191028"/>
  <pivotCaches>
    <pivotCache cacheId="0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2" l="1" a="1"/>
  <c r="B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<sst xmlns="http://schemas.openxmlformats.org/spreadsheetml/2006/main" count="701" uniqueCount="248">
  <si>
    <t>Data</t>
  </si>
  <si>
    <t>Estabelecimento</t>
  </si>
  <si>
    <t>Valor</t>
  </si>
  <si>
    <t xml:space="preserve">Moeda </t>
  </si>
  <si>
    <t xml:space="preserve">Cartão </t>
  </si>
  <si>
    <t xml:space="preserve">Categoria </t>
  </si>
  <si>
    <t>Sub-Cat</t>
  </si>
  <si>
    <t>Memo</t>
  </si>
  <si>
    <t>Amitié</t>
  </si>
  <si>
    <t>BRL</t>
  </si>
  <si>
    <t>The One</t>
  </si>
  <si>
    <t>Vacation</t>
  </si>
  <si>
    <t>Food</t>
  </si>
  <si>
    <t>Prova de vinho em Garibaldi</t>
  </si>
  <si>
    <t xml:space="preserve">Thaís Bello Dermatologia </t>
  </si>
  <si>
    <t>Healthcare</t>
  </si>
  <si>
    <t>Physician</t>
  </si>
  <si>
    <t>Consulta a cobrar</t>
  </si>
  <si>
    <t>Vinícola Geisse</t>
  </si>
  <si>
    <t>Supermarket</t>
  </si>
  <si>
    <t xml:space="preserve">Vinhos em Pinto Bandeira </t>
  </si>
  <si>
    <t>Fedroom</t>
  </si>
  <si>
    <t>EUR</t>
  </si>
  <si>
    <t>Lodging</t>
  </si>
  <si>
    <t xml:space="preserve">Hotel em Roma - pré pagamento </t>
  </si>
  <si>
    <t>Mabi 17</t>
  </si>
  <si>
    <t>2x Gelato</t>
  </si>
  <si>
    <t>Ristorante Prederri</t>
  </si>
  <si>
    <t xml:space="preserve">Água, cerveja e café </t>
  </si>
  <si>
    <t xml:space="preserve">Eustáquio Tre </t>
  </si>
  <si>
    <t>Débito XP</t>
  </si>
  <si>
    <t>Primeiro gelato na Itália</t>
  </si>
  <si>
    <t>Enoteca Guerrini</t>
  </si>
  <si>
    <t>Duas granitas de limoncello</t>
  </si>
  <si>
    <t>Su e Giù</t>
  </si>
  <si>
    <t>Primeiro jantar em Roma - recomendação ruim do Claude</t>
  </si>
  <si>
    <t>Libreria M. T. Cicerone</t>
  </si>
  <si>
    <t>Education</t>
  </si>
  <si>
    <t>Books</t>
  </si>
  <si>
    <t>Livro Le Città Invisibili - Italo Calvino</t>
  </si>
  <si>
    <t>Iginio Massari</t>
  </si>
  <si>
    <t>Café e água na Galeria Alberto Sordi</t>
  </si>
  <si>
    <t>Via Della Madonna</t>
  </si>
  <si>
    <t>Pizza muito boa em restaurante com música latina ruim</t>
  </si>
  <si>
    <t>Bar Luna d'Oro</t>
  </si>
  <si>
    <t>Cash</t>
  </si>
  <si>
    <t>Expresso esperando Naine na Sephora</t>
  </si>
  <si>
    <t>Forno Antico La Stelletta</t>
  </si>
  <si>
    <t>Panino Di mozzarella buffala e pomodoro</t>
  </si>
  <si>
    <t>Gnocco alla Scrofa</t>
  </si>
  <si>
    <t>Ultimo caffè in Roma</t>
  </si>
  <si>
    <t>Tonnarello</t>
  </si>
  <si>
    <t>Indicação do Google no Trastevere. Apenas razoável, mas muito frequentado</t>
  </si>
  <si>
    <t>Hotel Tree Charme</t>
  </si>
  <si>
    <t xml:space="preserve">Imposto sobre diária de hospedagem </t>
  </si>
  <si>
    <t>Taxi</t>
  </si>
  <si>
    <t>Travel</t>
  </si>
  <si>
    <t>Hotel - Termini (stazione ferroviaria Roma)</t>
  </si>
  <si>
    <t xml:space="preserve">Gavi Café </t>
  </si>
  <si>
    <t>Un Gelato a Roma</t>
  </si>
  <si>
    <t>Dois sorvetes</t>
  </si>
  <si>
    <t>Cipasso</t>
  </si>
  <si>
    <t>Primeiro jantar um pouco mais interessante em Roma: Via Metastasio, 21</t>
  </si>
  <si>
    <t>Mastrociccia</t>
  </si>
  <si>
    <t>Almoço entrando de improviso em osteria à Via Governo Vecchio, 76</t>
  </si>
  <si>
    <t>Uniqlo</t>
  </si>
  <si>
    <t>Split</t>
  </si>
  <si>
    <t>49,9+29,9+12,9 =92,7 Clothing e 322,1- 92,7=229,4 Empréstimo Arthur</t>
  </si>
  <si>
    <t>Antica Focacceria S. Francesco</t>
  </si>
  <si>
    <t xml:space="preserve">Na galeria Alberto Sordi. Honesto e com bom atendimento </t>
  </si>
  <si>
    <t>Pantheon Basilica</t>
  </si>
  <si>
    <t>Entertaining</t>
  </si>
  <si>
    <t xml:space="preserve">Duas entradas para conhecer o Panteão </t>
  </si>
  <si>
    <t xml:space="preserve">La Dea Bendata Caffè </t>
  </si>
  <si>
    <t xml:space="preserve">Piadine e caffè </t>
  </si>
  <si>
    <t>Don Nino</t>
  </si>
  <si>
    <t xml:space="preserve">Gelato de despedida da Fontana di Trevi </t>
  </si>
  <si>
    <t>Ristorante La Lupa</t>
  </si>
  <si>
    <t>Último jantar em Roma. Senhor idoso nos atendeu. Conhecemos a Pinsa Romana</t>
  </si>
  <si>
    <t>7Florence</t>
  </si>
  <si>
    <t xml:space="preserve">Taxa de hospedagem Florença </t>
  </si>
  <si>
    <t>Débito do primeiro pernoite em Florença, no dia 12</t>
  </si>
  <si>
    <t>13 Gobbi Trattoria</t>
  </si>
  <si>
    <t>Jantar de dia dos namorados em trattoria recomendada pela Luísa e Arthur</t>
  </si>
  <si>
    <t>Scudieri</t>
  </si>
  <si>
    <t xml:space="preserve">Tábua de frios e queijos + vinho + ricciarelli e expresso doppio na Piazza San Giovanni - Florença </t>
  </si>
  <si>
    <t>Sixt</t>
  </si>
  <si>
    <t>Locação de carro em Florença para dois pernoites na Toscana</t>
  </si>
  <si>
    <t>Maya</t>
  </si>
  <si>
    <t>Lampreghiotto e Porchetto na Beira da estrada</t>
  </si>
  <si>
    <t>Tempio di San Biagio</t>
  </si>
  <si>
    <t>Visita ao Templo de San Biagio, no Montepulciano</t>
  </si>
  <si>
    <t>Livreto sobre os etruscos - I Gli Etruschi - Guidorama</t>
  </si>
  <si>
    <t>Salamoia Gelateria Naturale</t>
  </si>
  <si>
    <t xml:space="preserve">Gelato impressionante em Montepulciano - segunda passagem  </t>
  </si>
  <si>
    <t xml:space="preserve">Comune di Montepulciano </t>
  </si>
  <si>
    <t xml:space="preserve">Primeiro estacionamento em Montepulciano </t>
  </si>
  <si>
    <t>Comune di Montepulciano</t>
  </si>
  <si>
    <t xml:space="preserve">Estacionamento na segunda ida a Montepulciano </t>
  </si>
  <si>
    <t>Bar del Tribunale</t>
  </si>
  <si>
    <t>Comida bem mais ou menos em Montepulciano</t>
  </si>
  <si>
    <t xml:space="preserve">Primeiro gelato em Montepulciano - absolutamente fantástico </t>
  </si>
  <si>
    <t>Caffè Ruberto</t>
  </si>
  <si>
    <t>Almoço em Roma</t>
  </si>
  <si>
    <t>Duomo di Siena</t>
  </si>
  <si>
    <t>Visita ao Duomo de Siena e atrações no complexo</t>
  </si>
  <si>
    <t>Ristorante Mugolone</t>
  </si>
  <si>
    <t>Almoço em restaurante Michelin em Siena</t>
  </si>
  <si>
    <t>Gelateria la Vecchia Latteria</t>
  </si>
  <si>
    <t>Sorvete em Siena</t>
  </si>
  <si>
    <t xml:space="preserve">Siena Parcheggio </t>
  </si>
  <si>
    <t>Estacionamento em Siena</t>
  </si>
  <si>
    <t>Via degli Archi</t>
  </si>
  <si>
    <t>Estacionamento em Pienza</t>
  </si>
  <si>
    <t>Bar Il Casello</t>
  </si>
  <si>
    <t>Um Spritz e uma água em Pienza</t>
  </si>
  <si>
    <t>BuonGusto</t>
  </si>
  <si>
    <t>Sorvete em Pienza</t>
  </si>
  <si>
    <t>Ristorante 13 Gobbi</t>
  </si>
  <si>
    <t>Jantar especial em Montefullonico - restaurante de família indicado por David, da Abbadia</t>
  </si>
  <si>
    <t>Abbadia Wine Relais</t>
  </si>
  <si>
    <t>Taxa municipal</t>
  </si>
  <si>
    <t>Schiacchia Sangi</t>
  </si>
  <si>
    <t>Sanduíche de focaccia, creme de tartufo e prosciutto crudo em San Gemignano</t>
  </si>
  <si>
    <t>Duomo San Gemignano</t>
  </si>
  <si>
    <t>Visita ao Duomo de San Gemignano</t>
  </si>
  <si>
    <t>Gelateria Dondoli</t>
  </si>
  <si>
    <t>Gelato sensacional em San Gemignano</t>
  </si>
  <si>
    <t>Bar Combattenti</t>
  </si>
  <si>
    <t>Café e água em San Gemignano</t>
  </si>
  <si>
    <t>Montemaggio</t>
  </si>
  <si>
    <t>Estacionamento em San Gemignano</t>
  </si>
  <si>
    <t>Trattoria Marione</t>
  </si>
  <si>
    <t xml:space="preserve">Jantar em Florença em restaurante local muito bom, frequentado por italianos, indicação do hotel </t>
  </si>
  <si>
    <t xml:space="preserve">Cristiane Guia Florença </t>
  </si>
  <si>
    <t>Guia turística excelente em Florença - profunda conhecedora da história da região, da Itália e da Arte. Espetacular!</t>
  </si>
  <si>
    <t>Lá Sorbettiera</t>
  </si>
  <si>
    <t xml:space="preserve">Sorveteria logo após passeio com guia Cristiane. Não valeu. </t>
  </si>
  <si>
    <t>Ino</t>
  </si>
  <si>
    <t xml:space="preserve">Panino espetacular após passeio com guia Cristiane, em Florença </t>
  </si>
  <si>
    <t>Museo Opera Santa Croce</t>
  </si>
  <si>
    <t xml:space="preserve">Visita à Basílica Santa Croce (séc XIII), dos Franciscanos, em Florença </t>
  </si>
  <si>
    <t>Basílica Santa Croce</t>
  </si>
  <si>
    <t>Áudio guia para visita à Basilica de Santa Croce</t>
  </si>
  <si>
    <t>Zara</t>
  </si>
  <si>
    <t>Clothing</t>
  </si>
  <si>
    <t>Calça de linho para Jr</t>
  </si>
  <si>
    <t>La Carraia in Santa Croce</t>
  </si>
  <si>
    <t xml:space="preserve">Gelato abaixo da expectativa, em Florença </t>
  </si>
  <si>
    <t xml:space="preserve">Calça de linho para Naine em Florença </t>
  </si>
  <si>
    <t>100 Poveri Ristorante</t>
  </si>
  <si>
    <t xml:space="preserve">Último jantar em Florença - pizzas </t>
  </si>
  <si>
    <t>Hotel Palazzo dal Borgo</t>
  </si>
  <si>
    <t>Hospedagem em Florença. Local perto da estação de trem Santa Maria Novella e do centro</t>
  </si>
  <si>
    <t>soc.coop.culture</t>
  </si>
  <si>
    <t>Visita ao Palazzo Pitti - comprado por Leonora dos Medici para os 11 filhos poderem brincar, motivo da passarela de Vasari e depois palácio real</t>
  </si>
  <si>
    <t>U-Visionary Venezia</t>
  </si>
  <si>
    <t>Hotel em Veneza @6,2248 = R$ 4944,36</t>
  </si>
  <si>
    <t>He Chang Chun</t>
  </si>
  <si>
    <t>Furnishings</t>
  </si>
  <si>
    <t>Balança de mala comprada em Veneza</t>
  </si>
  <si>
    <t>la Feltrinelli</t>
  </si>
  <si>
    <t>Orlando Furioso, de Ludovico Ariosto, comprado em Veneza</t>
  </si>
  <si>
    <t>Venchi</t>
  </si>
  <si>
    <t>Sorvetes e água em Veneza</t>
  </si>
  <si>
    <t>Bar Gelateria al Todaro</t>
  </si>
  <si>
    <t xml:space="preserve">O Negroni e o Aperol mais caros da vida, com direito a ver o rei da Espanha e, antes dele, o presidente da Itália </t>
  </si>
  <si>
    <t>Ristorante Vecia Cavana</t>
  </si>
  <si>
    <t>Jantar razoável em Veneza, servidos pelo egípcio Mohamad</t>
  </si>
  <si>
    <t>Interpreti Veneziani</t>
  </si>
  <si>
    <t>Concerto de Vivaldi do grupo acima, em Veneza. Muito bom!</t>
  </si>
  <si>
    <t>Beauty Fly SAS</t>
  </si>
  <si>
    <t>4 conjuntos de unhas postiças em Veneza</t>
  </si>
  <si>
    <t>Giardino d’Oriente</t>
  </si>
  <si>
    <t>2 lenços de seda em Veneza</t>
  </si>
  <si>
    <t>Ristorante Roberto Venezia</t>
  </si>
  <si>
    <t>Dois drinks de uma água em Veneza</t>
  </si>
  <si>
    <t>Basílica di SS Giovanni e Paolo</t>
  </si>
  <si>
    <t>Visita à intrigante basílica em Veneza, com os restos do pai de João Batista!</t>
  </si>
  <si>
    <t>Basílica di San Marco</t>
  </si>
  <si>
    <t xml:space="preserve">Visita à belíssima e vastíssima basílica recoberta de mosaicos de ouro </t>
  </si>
  <si>
    <t>Do Fradei S.R.L.</t>
  </si>
  <si>
    <t>Gelateria Gallonetto. Melhor gelato de Veneza</t>
  </si>
  <si>
    <t>Hostaria La Busara</t>
  </si>
  <si>
    <t xml:space="preserve">  L’ultima cena a Venezia</t>
  </si>
  <si>
    <t>Avenue</t>
  </si>
  <si>
    <t>Transfer</t>
  </si>
  <si>
    <t>R$ 71,01 = IOF (3,5%) e 2028,99 =&gt; transfer p Avenue EUR 333,80</t>
  </si>
  <si>
    <t>Ultimo gelato em Veneza, na Gelateria Gallonetto</t>
  </si>
  <si>
    <t>Sumup*Gasitaxi</t>
  </si>
  <si>
    <t>Táxi lancha de Veneza ao aeroporto Marco Polo</t>
  </si>
  <si>
    <t>Desigual</t>
  </si>
  <si>
    <t>Pesto de Pistacchio e Molho de Trufa no Duty Free do aeroporto de Veneza</t>
  </si>
  <si>
    <t>Access - Totalenergies</t>
  </si>
  <si>
    <t>Almoço na estrada de Paris para Prin - Naine</t>
  </si>
  <si>
    <t>Almoço na estrada de Paris para Prin e EUR 17,90 para Cash</t>
  </si>
  <si>
    <t>Sanef</t>
  </si>
  <si>
    <t>Pedágio de Paris para Prin</t>
  </si>
  <si>
    <t>U - Visionary</t>
  </si>
  <si>
    <t>18 lodging tax + 5 Mancia (tip)</t>
  </si>
  <si>
    <t>Les Délices de Jonchery sur Vesle</t>
  </si>
  <si>
    <t>Avenue Helaine</t>
  </si>
  <si>
    <t>Leisure</t>
  </si>
  <si>
    <t>Entertainment</t>
  </si>
  <si>
    <t>Pão para festa de aniversário da Thaís na Champanha</t>
  </si>
  <si>
    <t>Pedágio ida a Paris</t>
  </si>
  <si>
    <t>Pedágio para Paris</t>
  </si>
  <si>
    <t>Samef</t>
  </si>
  <si>
    <t>Badet</t>
  </si>
  <si>
    <t>Gasolina cobrada errada - era pra ser EUR 40,02</t>
  </si>
  <si>
    <t>L’Alsace</t>
  </si>
  <si>
    <t>Almoço ruim (serviço e Moules et Frites) na Champs Elisées</t>
  </si>
  <si>
    <t xml:space="preserve">EUR 39,9 Arthur + 7,9 Gift legging p Benny Strider + resto = clothing </t>
  </si>
  <si>
    <t>RATP</t>
  </si>
  <si>
    <t>Metró de Paris - Passe de dia inteiro para duas pessoas</t>
  </si>
  <si>
    <t>Mercearia em Paris</t>
  </si>
  <si>
    <t>Água</t>
  </si>
  <si>
    <t>L’Atelier Maison de la Truffe</t>
  </si>
  <si>
    <t>Carpaccio com trufas sensacional nas Galeries Lafayette</t>
  </si>
  <si>
    <t>Gourmet Haussmann</t>
  </si>
  <si>
    <t>Sorvete sensacional do chef Marcolini nas Galeries Lafayette</t>
  </si>
  <si>
    <t>FNAC</t>
  </si>
  <si>
    <t>Trois Petits Hippopotames na FNAC de Paris à Saint Lazare</t>
  </si>
  <si>
    <t>Rituals</t>
  </si>
  <si>
    <t>Gift para Letty 10,90 - resto Supermarket (sabonetes e esfoliantes)</t>
  </si>
  <si>
    <t>Mango</t>
  </si>
  <si>
    <t>Gift - lenço para Luly (12,99) e Clothing o resto (lenço Naine)</t>
  </si>
  <si>
    <t>Le Comptoir du Faubourg</t>
  </si>
  <si>
    <t>Coca e cerveja em bar de esquina em Paris</t>
  </si>
  <si>
    <t>Läderach</t>
  </si>
  <si>
    <t>Chocolates em Paris para levar</t>
  </si>
  <si>
    <t>Contraste</t>
  </si>
  <si>
    <t>Gift</t>
  </si>
  <si>
    <t>Jantar de 35 anos de casados em restaurante super quente em Paris</t>
  </si>
  <si>
    <t>Ofício Restaurant Chiado</t>
  </si>
  <si>
    <t xml:space="preserve">Jantar sensacional em Lisboa. Tártaro Carapau e um arroz de Bacalhau incrível </t>
  </si>
  <si>
    <t>Hôtel - aéroport Orly</t>
  </si>
  <si>
    <t>Jaime Alves Barata</t>
  </si>
  <si>
    <t xml:space="preserve">Registro tardio. Sem memória. </t>
  </si>
  <si>
    <t>Datas</t>
  </si>
  <si>
    <t>Início</t>
  </si>
  <si>
    <t>Fim</t>
  </si>
  <si>
    <t>Gastos em:</t>
  </si>
  <si>
    <t>Row Labels</t>
  </si>
  <si>
    <t>Sum of Valor</t>
  </si>
  <si>
    <t>(blank)</t>
  </si>
  <si>
    <t>Grand Total</t>
  </si>
  <si>
    <t>Exportado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</si>
</sst>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476250</xdr:colOff>
      <xdr:row>1</xdr:row>
      <xdr:rowOff>28575</xdr:rowOff>
    </xdr:from>
    <xdr:to>
      <xdr:col>11</xdr:col>
      <xdr:colOff>9525</xdr:colOff>
      <xdr:row>8</xdr:row>
      <xdr:rowOff>66675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a">
              <a:extLst>
                <a:ext uri="{FF2B5EF4-FFF2-40B4-BE49-F238E27FC236}">
                  <a16:creationId xmlns:a16="http://schemas.microsoft.com/office/drawing/2014/main" id="{96DF69BD-963D-48F7-F300-AD44466EE4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76775" y="2190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uben Monteiro" refreshedDate="46191.766386689815" createdVersion="8" refreshedVersion="8" minRefreshableVersion="3" recordCount="82" xr:uid="{4CC9B769-1862-4E41-963E-89711CC6BDDA}">
  <cacheSource type="worksheet">
    <worksheetSource name="Money"/>
  </cacheSource>
  <cacheFields count="8">
    <cacheField name="Data" numFmtId="14">
      <sharedItems containsSemiMixedTypes="0" containsNonDate="0" containsDate="1" containsString="0" minDate="2026-01-08T00:00:00" maxDate="2026-06-19T00:00:00" count="15">
        <d v="2026-02-14T00:00:00"/>
        <d v="2026-01-21T00:00:00"/>
        <d v="2026-02-16T00:00:00"/>
        <d v="2026-06-08T00:00:00"/>
        <d v="2026-01-08T00:00:00"/>
        <d v="2026-06-09T00:00:00"/>
        <d v="2026-06-10T00:00:00"/>
        <d v="2026-06-12T00:00:00"/>
        <d v="2026-06-11T00:00:00"/>
        <d v="2026-06-13T00:00:00"/>
        <d v="2026-06-14T00:00:00"/>
        <d v="2026-06-15T00:00:00"/>
        <d v="2026-06-16T00:00:00"/>
        <d v="2026-06-17T00:00:00"/>
        <d v="2026-06-18T00:00:00"/>
      </sharedItems>
    </cacheField>
    <cacheField name="Estabelecimento" numFmtId="0">
      <sharedItems/>
    </cacheField>
    <cacheField name="Valor" numFmtId="0">
      <sharedItems containsSemiMixedTypes="0" containsString="0" containsNumber="1" minValue="1.3" maxValue="1878.3"/>
    </cacheField>
    <cacheField name="Moeda " numFmtId="0">
      <sharedItems count="2">
        <s v="BRL"/>
        <s v="EUR"/>
      </sharedItems>
    </cacheField>
    <cacheField name="Cartão " numFmtId="0">
      <sharedItems/>
    </cacheField>
    <cacheField name="Categoria " numFmtId="0">
      <sharedItems count="8">
        <s v="Vacation"/>
        <s v="Healthcare"/>
        <s v="Supermarket"/>
        <s v="Education"/>
        <s v="Split"/>
        <s v="Clothing"/>
        <s v="Furnishings"/>
        <s v="Vacation " u="1"/>
      </sharedItems>
    </cacheField>
    <cacheField name="Sub-Cat" numFmtId="0">
      <sharedItems containsBlank="1" count="9">
        <s v="Food"/>
        <s v="Physician"/>
        <m/>
        <s v="Lodging"/>
        <s v="Books"/>
        <s v="Travel"/>
        <s v="Entertaining"/>
        <s v="Food " u="1"/>
        <s v="Lodging " u="1"/>
      </sharedItems>
    </cacheField>
    <cacheField name="Memo" numFmtId="0">
      <sharedItems containsBlank="1"/>
    </cacheField>
  </cacheFields>
  <extLst>
    <ext xmlns:x14="http://schemas.microsoft.com/office/spreadsheetml/2009/9/main" uri="{725AE2AE-9491-48be-B2B4-4EB974FC3084}">
      <x14:pivotCacheDefinition pivotCacheId="6928061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x v="0"/>
    <s v="Amitié"/>
    <n v="75"/>
    <x v="0"/>
    <s v="The One"/>
    <x v="0"/>
    <x v="0"/>
    <s v="Prova de vinho em Garibaldi"/>
  </r>
  <r>
    <x v="1"/>
    <s v="Thaís Bello Dermatologia "/>
    <n v="1070"/>
    <x v="0"/>
    <s v="The One"/>
    <x v="1"/>
    <x v="1"/>
    <s v="Consulta a cobrar"/>
  </r>
  <r>
    <x v="2"/>
    <s v="Vinícola Geisse"/>
    <n v="1878.3"/>
    <x v="0"/>
    <s v="The One"/>
    <x v="2"/>
    <x v="2"/>
    <s v="Vinhos em Pinto Bandeira "/>
  </r>
  <r>
    <x v="1"/>
    <s v="Thaís Bello Dermatologia "/>
    <n v="1260"/>
    <x v="0"/>
    <s v="The One"/>
    <x v="1"/>
    <x v="1"/>
    <s v="Consulta a cobrar"/>
  </r>
  <r>
    <x v="3"/>
    <s v="Fedroom"/>
    <n v="1383.15"/>
    <x v="1"/>
    <s v="The One"/>
    <x v="0"/>
    <x v="3"/>
    <s v="Hotel em Roma - pré pagamento "/>
  </r>
  <r>
    <x v="3"/>
    <s v="Mabi 17"/>
    <n v="7"/>
    <x v="1"/>
    <s v="The One"/>
    <x v="0"/>
    <x v="0"/>
    <s v="2x Gelato"/>
  </r>
  <r>
    <x v="4"/>
    <s v="Ristorante Prederri"/>
    <n v="12"/>
    <x v="1"/>
    <s v="The One"/>
    <x v="0"/>
    <x v="0"/>
    <s v="Água, cerveja e café "/>
  </r>
  <r>
    <x v="3"/>
    <s v="Eustáquio Tre "/>
    <n v="7.4"/>
    <x v="1"/>
    <s v="Débito XP"/>
    <x v="0"/>
    <x v="0"/>
    <s v="Primeiro gelato na Itália"/>
  </r>
  <r>
    <x v="3"/>
    <s v="Enoteca Guerrini"/>
    <n v="10"/>
    <x v="1"/>
    <s v="Débito XP"/>
    <x v="0"/>
    <x v="0"/>
    <s v="Duas granitas de limoncello"/>
  </r>
  <r>
    <x v="3"/>
    <s v="Su e Giù"/>
    <n v="57"/>
    <x v="1"/>
    <s v="Débito XP"/>
    <x v="0"/>
    <x v="0"/>
    <s v="Primeiro jantar em Roma - recomendação ruim do Claude"/>
  </r>
  <r>
    <x v="5"/>
    <s v="Libreria M. T. Cicerone"/>
    <n v="13"/>
    <x v="1"/>
    <s v="Débito XP"/>
    <x v="3"/>
    <x v="4"/>
    <s v="Livro Le Città Invisibili - Italo Calvino"/>
  </r>
  <r>
    <x v="5"/>
    <s v="Iginio Massari"/>
    <n v="7"/>
    <x v="1"/>
    <s v="Débito XP"/>
    <x v="0"/>
    <x v="0"/>
    <s v="Café e água na Galeria Alberto Sordi"/>
  </r>
  <r>
    <x v="5"/>
    <s v="Via Della Madonna"/>
    <n v="47"/>
    <x v="1"/>
    <s v="Débito XP"/>
    <x v="0"/>
    <x v="0"/>
    <s v="Pizza muito boa em restaurante com música latina ruim"/>
  </r>
  <r>
    <x v="6"/>
    <s v="Bar Luna d'Oro"/>
    <n v="5"/>
    <x v="1"/>
    <s v="Cash"/>
    <x v="0"/>
    <x v="0"/>
    <s v="Expresso esperando Naine na Sephora"/>
  </r>
  <r>
    <x v="7"/>
    <s v="Forno Antico La Stelletta"/>
    <n v="5"/>
    <x v="1"/>
    <s v="Débito XP"/>
    <x v="0"/>
    <x v="0"/>
    <s v="Panino Di mozzarella buffala e pomodoro"/>
  </r>
  <r>
    <x v="7"/>
    <s v="Gnocco alla Scrofa"/>
    <n v="14"/>
    <x v="1"/>
    <s v="Débito XP"/>
    <x v="0"/>
    <x v="0"/>
    <s v="Ultimo caffè in Roma"/>
  </r>
  <r>
    <x v="6"/>
    <s v="Tonnarello"/>
    <n v="57.5"/>
    <x v="1"/>
    <s v="Débito XP"/>
    <x v="0"/>
    <x v="0"/>
    <s v="Indicação do Google no Trastevere. Apenas razoável, mas muito frequentado"/>
  </r>
  <r>
    <x v="7"/>
    <s v="Hotel Tree Charme"/>
    <n v="48"/>
    <x v="1"/>
    <s v="Cash"/>
    <x v="0"/>
    <x v="3"/>
    <s v="Imposto sobre diária de hospedagem "/>
  </r>
  <r>
    <x v="7"/>
    <s v="Taxi"/>
    <n v="60"/>
    <x v="1"/>
    <s v="Cash"/>
    <x v="0"/>
    <x v="5"/>
    <s v="Hotel - Termini (stazione ferroviaria Roma)"/>
  </r>
  <r>
    <x v="6"/>
    <s v="Gavi Café "/>
    <n v="15"/>
    <x v="1"/>
    <s v="Débito XP"/>
    <x v="0"/>
    <x v="0"/>
    <m/>
  </r>
  <r>
    <x v="6"/>
    <s v="Un Gelato a Roma"/>
    <n v="7"/>
    <x v="1"/>
    <s v="Débito XP"/>
    <x v="0"/>
    <x v="0"/>
    <s v="Dois sorvetes"/>
  </r>
  <r>
    <x v="6"/>
    <s v="Cipasso"/>
    <n v="109"/>
    <x v="1"/>
    <s v="Débito XP"/>
    <x v="0"/>
    <x v="0"/>
    <s v="Primeiro jantar um pouco mais interessante em Roma: Via Metastasio, 21"/>
  </r>
  <r>
    <x v="8"/>
    <s v="Mastrociccia"/>
    <n v="57"/>
    <x v="1"/>
    <s v="Débito XP"/>
    <x v="0"/>
    <x v="0"/>
    <s v="Almoço entrando de improviso em osteria à Via Governo Vecchio, 76"/>
  </r>
  <r>
    <x v="8"/>
    <s v="Uniqlo"/>
    <n v="322.10000000000002"/>
    <x v="1"/>
    <s v="Débito XP"/>
    <x v="4"/>
    <x v="2"/>
    <s v="49,9+29,9+12,9 =92,7 Clothing e 322,1- 92,7=229,4 Empréstimo Arthur"/>
  </r>
  <r>
    <x v="8"/>
    <s v="Antica Focacceria S. Francesco"/>
    <n v="13.3"/>
    <x v="1"/>
    <s v="Débito XP"/>
    <x v="0"/>
    <x v="0"/>
    <s v="Na galeria Alberto Sordi. Honesto e com bom atendimento "/>
  </r>
  <r>
    <x v="8"/>
    <s v="Pantheon Basilica"/>
    <n v="10"/>
    <x v="1"/>
    <s v="Débito XP"/>
    <x v="0"/>
    <x v="6"/>
    <s v="Duas entradas para conhecer o Panteão "/>
  </r>
  <r>
    <x v="8"/>
    <s v="La Dea Bendata Caffè "/>
    <n v="10.199999999999999"/>
    <x v="1"/>
    <s v="Débito XP"/>
    <x v="0"/>
    <x v="0"/>
    <s v="Piadine e caffè "/>
  </r>
  <r>
    <x v="8"/>
    <s v="Don Nino"/>
    <n v="8"/>
    <x v="1"/>
    <s v="Débito XP"/>
    <x v="0"/>
    <x v="0"/>
    <s v="Gelato de despedida da Fontana di Trevi "/>
  </r>
  <r>
    <x v="8"/>
    <s v="Ristorante La Lupa"/>
    <n v="46.5"/>
    <x v="1"/>
    <s v="Débito XP"/>
    <x v="0"/>
    <x v="0"/>
    <s v="Último jantar em Roma. Senhor idoso nos atendeu. Conhecemos a Pinsa Romana"/>
  </r>
  <r>
    <x v="7"/>
    <s v="7Florence"/>
    <n v="12"/>
    <x v="1"/>
    <s v="Débito XP"/>
    <x v="0"/>
    <x v="3"/>
    <s v="Taxa de hospedagem Florença "/>
  </r>
  <r>
    <x v="5"/>
    <s v="7Florence"/>
    <n v="292.5"/>
    <x v="1"/>
    <s v="The One"/>
    <x v="0"/>
    <x v="3"/>
    <s v="Débito do primeiro pernoite em Florença, no dia 12"/>
  </r>
  <r>
    <x v="7"/>
    <s v="13 Gobbi Trattoria"/>
    <n v="108"/>
    <x v="1"/>
    <s v="Débito XP"/>
    <x v="0"/>
    <x v="0"/>
    <s v="Jantar de dia dos namorados em trattoria recomendada pela Luísa e Arthur"/>
  </r>
  <r>
    <x v="7"/>
    <s v="Scudieri"/>
    <n v="50.5"/>
    <x v="1"/>
    <s v="Débito XP"/>
    <x v="0"/>
    <x v="0"/>
    <s v="Tábua de frios e queijos + vinho + ricciarelli e expresso doppio na Piazza San Giovanni - Florença "/>
  </r>
  <r>
    <x v="9"/>
    <s v="Sixt"/>
    <n v="384.96"/>
    <x v="1"/>
    <s v="Débito XP"/>
    <x v="0"/>
    <x v="5"/>
    <s v="Locação de carro em Florença para dois pernoites na Toscana"/>
  </r>
  <r>
    <x v="9"/>
    <s v="Maya"/>
    <n v="21"/>
    <x v="1"/>
    <s v="Débito XP"/>
    <x v="0"/>
    <x v="0"/>
    <s v="Lampreghiotto e Porchetto na Beira da estrada"/>
  </r>
  <r>
    <x v="9"/>
    <s v="Tempio di San Biagio"/>
    <n v="10"/>
    <x v="1"/>
    <s v="Débito XP"/>
    <x v="0"/>
    <x v="6"/>
    <s v="Visita ao Templo de San Biagio, no Montepulciano"/>
  </r>
  <r>
    <x v="9"/>
    <s v="Tempio di San Biagio"/>
    <n v="3"/>
    <x v="1"/>
    <s v="Débito XP"/>
    <x v="3"/>
    <x v="4"/>
    <s v="Livreto sobre os etruscos - I Gli Etruschi - Guidorama"/>
  </r>
  <r>
    <x v="9"/>
    <s v="Salamoia Gelateria Naturale"/>
    <n v="7"/>
    <x v="1"/>
    <s v="Débito XP"/>
    <x v="0"/>
    <x v="0"/>
    <s v="Gelato impressionante em Montepulciano - segunda passagem  "/>
  </r>
  <r>
    <x v="9"/>
    <s v="Comune di Montepulciano "/>
    <n v="3"/>
    <x v="1"/>
    <s v="Débito XP"/>
    <x v="0"/>
    <x v="5"/>
    <s v="Primeiro estacionamento em Montepulciano "/>
  </r>
  <r>
    <x v="9"/>
    <s v="Comune di Montepulciano"/>
    <n v="3"/>
    <x v="1"/>
    <s v="Débito XP"/>
    <x v="0"/>
    <x v="5"/>
    <s v="Estacionamento na segunda ida a Montepulciano "/>
  </r>
  <r>
    <x v="9"/>
    <s v="Bar del Tribunale"/>
    <n v="48.2"/>
    <x v="1"/>
    <s v="Débito XP"/>
    <x v="0"/>
    <x v="0"/>
    <s v="Comida bem mais ou menos em Montepulciano"/>
  </r>
  <r>
    <x v="9"/>
    <s v="Salamoia Gelateria Naturale"/>
    <n v="6"/>
    <x v="1"/>
    <s v="Débito XP"/>
    <x v="0"/>
    <x v="0"/>
    <s v="Primeiro gelato em Montepulciano - absolutamente fantástico "/>
  </r>
  <r>
    <x v="5"/>
    <s v="Caffè Ruberto"/>
    <n v="67"/>
    <x v="1"/>
    <s v="The One"/>
    <x v="0"/>
    <x v="0"/>
    <s v="Almoço em Roma"/>
  </r>
  <r>
    <x v="10"/>
    <s v="Duomo di Siena"/>
    <n v="33.869999999999997"/>
    <x v="1"/>
    <s v="Débito XP"/>
    <x v="0"/>
    <x v="6"/>
    <s v="Visita ao Duomo de Siena e atrações no complexo"/>
  </r>
  <r>
    <x v="10"/>
    <s v="Ristorante Mugolone"/>
    <n v="95"/>
    <x v="1"/>
    <s v="Débito XP"/>
    <x v="0"/>
    <x v="0"/>
    <s v="Almoço em restaurante Michelin em Siena"/>
  </r>
  <r>
    <x v="10"/>
    <s v="Gelateria la Vecchia Latteria"/>
    <n v="5.6"/>
    <x v="1"/>
    <s v="Débito XP"/>
    <x v="0"/>
    <x v="0"/>
    <s v="Sorvete em Siena"/>
  </r>
  <r>
    <x v="10"/>
    <s v="Siena Parcheggio "/>
    <n v="14"/>
    <x v="1"/>
    <s v="Débito XP"/>
    <x v="0"/>
    <x v="5"/>
    <s v="Estacionamento em Siena"/>
  </r>
  <r>
    <x v="10"/>
    <s v="Via degli Archi"/>
    <n v="1.3"/>
    <x v="1"/>
    <s v="Débito XP"/>
    <x v="0"/>
    <x v="5"/>
    <s v="Estacionamento em Pienza"/>
  </r>
  <r>
    <x v="10"/>
    <s v="Bar Il Casello"/>
    <n v="6.8"/>
    <x v="1"/>
    <s v="Débito XP"/>
    <x v="0"/>
    <x v="0"/>
    <s v="Um Spritz e uma água em Pienza"/>
  </r>
  <r>
    <x v="10"/>
    <s v="BuonGusto"/>
    <n v="3"/>
    <x v="1"/>
    <s v="Débito XP"/>
    <x v="0"/>
    <x v="0"/>
    <s v="Sorvete em Pienza"/>
  </r>
  <r>
    <x v="10"/>
    <s v="Ristorante 13 Gobbi"/>
    <n v="78"/>
    <x v="1"/>
    <s v="Débito XP"/>
    <x v="0"/>
    <x v="0"/>
    <s v="Jantar especial em Montefullonico - restaurante de família indicado por David, da Abbadia"/>
  </r>
  <r>
    <x v="11"/>
    <s v="Abbadia Wine Relais"/>
    <n v="8"/>
    <x v="1"/>
    <s v="The One"/>
    <x v="0"/>
    <x v="3"/>
    <s v="Taxa municipal"/>
  </r>
  <r>
    <x v="11"/>
    <s v="Schiacchia Sangi"/>
    <n v="18"/>
    <x v="1"/>
    <s v="The One"/>
    <x v="0"/>
    <x v="0"/>
    <s v="Sanduíche de focaccia, creme de tartufo e prosciutto crudo em San Gemignano"/>
  </r>
  <r>
    <x v="11"/>
    <s v="Duomo San Gemignano"/>
    <n v="10"/>
    <x v="1"/>
    <s v="Débito XP"/>
    <x v="0"/>
    <x v="6"/>
    <s v="Visita ao Duomo de San Gemignano"/>
  </r>
  <r>
    <x v="11"/>
    <s v="Gelateria Dondoli"/>
    <n v="10.5"/>
    <x v="1"/>
    <s v="The One"/>
    <x v="0"/>
    <x v="0"/>
    <s v="Gelato sensacional em San Gemignano"/>
  </r>
  <r>
    <x v="11"/>
    <s v="Bar Combattenti"/>
    <n v="7.5"/>
    <x v="1"/>
    <s v="Débito XP"/>
    <x v="0"/>
    <x v="0"/>
    <s v="Café e água em San Gemignano"/>
  </r>
  <r>
    <x v="11"/>
    <s v="Montemaggio"/>
    <n v="7.5"/>
    <x v="1"/>
    <s v="Débito XP"/>
    <x v="0"/>
    <x v="5"/>
    <s v="Estacionamento em San Gemignano"/>
  </r>
  <r>
    <x v="11"/>
    <s v="Trattoria Marione"/>
    <n v="64.5"/>
    <x v="1"/>
    <s v="Débito XP"/>
    <x v="0"/>
    <x v="0"/>
    <s v="Jantar em Florença em restaurante local muito bom, frequentado por italianos, indicação do hotel "/>
  </r>
  <r>
    <x v="12"/>
    <s v="Cristiane Guia Florença "/>
    <n v="240"/>
    <x v="1"/>
    <s v="Cash"/>
    <x v="0"/>
    <x v="6"/>
    <s v="Guia turística excelente em Florença - profunda conhecedora da história da região, da Itália e da Arte. Espetacular!"/>
  </r>
  <r>
    <x v="12"/>
    <s v="Lá Sorbettiera"/>
    <n v="10"/>
    <x v="1"/>
    <s v="Débito XP"/>
    <x v="0"/>
    <x v="0"/>
    <s v="Sorveteria logo após passeio com guia Cristiane. Não valeu. "/>
  </r>
  <r>
    <x v="12"/>
    <s v="Ino"/>
    <n v="27"/>
    <x v="1"/>
    <s v="Débito XP"/>
    <x v="0"/>
    <x v="0"/>
    <s v="Panino espetacular após passeio com guia Cristiane, em Florença "/>
  </r>
  <r>
    <x v="12"/>
    <s v="Museo Opera Santa Croce"/>
    <n v="20"/>
    <x v="1"/>
    <s v="Débito XP"/>
    <x v="0"/>
    <x v="6"/>
    <s v="Visita à Basílica Santa Croce (séc XIII), dos Franciscanos, em Florença "/>
  </r>
  <r>
    <x v="12"/>
    <s v="Basílica Santa Croce"/>
    <n v="6"/>
    <x v="1"/>
    <s v="Débito XP"/>
    <x v="0"/>
    <x v="6"/>
    <s v="Áudio guia para visita à Basilica de Santa Croce"/>
  </r>
  <r>
    <x v="12"/>
    <s v="Zara"/>
    <n v="49.95"/>
    <x v="1"/>
    <s v="Débito XP"/>
    <x v="5"/>
    <x v="2"/>
    <s v="Calça de linho para Jr"/>
  </r>
  <r>
    <x v="12"/>
    <s v="La Carraia in Santa Croce"/>
    <n v="5"/>
    <x v="1"/>
    <s v="Débito XP"/>
    <x v="0"/>
    <x v="0"/>
    <s v="Gelato abaixo da expectativa, em Florença "/>
  </r>
  <r>
    <x v="12"/>
    <s v="Zara"/>
    <n v="45.95"/>
    <x v="1"/>
    <s v="Débito XP"/>
    <x v="5"/>
    <x v="2"/>
    <s v="Calça de linho para Naine em Florença "/>
  </r>
  <r>
    <x v="12"/>
    <s v="100 Poveri Ristorante"/>
    <n v="54"/>
    <x v="1"/>
    <s v="Débito XP"/>
    <x v="0"/>
    <x v="0"/>
    <s v="Último jantar em Florença - pizzas "/>
  </r>
  <r>
    <x v="13"/>
    <s v="Hotel Palazzo dal Borgo"/>
    <n v="577.37"/>
    <x v="1"/>
    <s v="Débito XP"/>
    <x v="0"/>
    <x v="3"/>
    <s v="Hospedagem em Florença. Local perto da estação de trem Santa Maria Novella e do centro"/>
  </r>
  <r>
    <x v="13"/>
    <s v="soc.coop.culture"/>
    <n v="32"/>
    <x v="1"/>
    <s v="Débito XP"/>
    <x v="0"/>
    <x v="6"/>
    <s v="Visita ao Palazzo Pitti - comprado por Leonora dos Medici para os 11 filhos poderem brincar, motivo da passarela de Vasari e depois palácio real"/>
  </r>
  <r>
    <x v="13"/>
    <s v="U-Visionary Venezia"/>
    <n v="794.3"/>
    <x v="1"/>
    <s v="The One"/>
    <x v="0"/>
    <x v="3"/>
    <s v="Hotel em Veneza @6,2248 = R$ 4944,36"/>
  </r>
  <r>
    <x v="13"/>
    <s v="He Chang Chun"/>
    <n v="12"/>
    <x v="1"/>
    <s v="The One"/>
    <x v="6"/>
    <x v="2"/>
    <s v="Balança de mala comprada em Veneza"/>
  </r>
  <r>
    <x v="13"/>
    <s v="la Feltrinelli"/>
    <n v="18.5"/>
    <x v="1"/>
    <s v="Débito XP"/>
    <x v="3"/>
    <x v="4"/>
    <s v="Orlando Furioso, de Ludovico Ariosto, comprado em Veneza"/>
  </r>
  <r>
    <x v="13"/>
    <s v="Venchi"/>
    <n v="10.199999999999999"/>
    <x v="1"/>
    <s v="Débito XP"/>
    <x v="0"/>
    <x v="0"/>
    <s v="Sorvetes e água em Veneza"/>
  </r>
  <r>
    <x v="13"/>
    <s v="Bar Gelateria al Todaro"/>
    <n v="36"/>
    <x v="1"/>
    <s v="Débito XP"/>
    <x v="0"/>
    <x v="0"/>
    <s v="O Negroni e o Aperol mais caros da vida, com direito a ver o rei da Espanha e, antes dele, o presidente da Itália "/>
  </r>
  <r>
    <x v="13"/>
    <s v="Ristorante Vecia Cavana"/>
    <n v="106"/>
    <x v="1"/>
    <s v="The One"/>
    <x v="0"/>
    <x v="0"/>
    <s v="Jantar razoável em Veneza, servidos pelo egípcio Mohamad"/>
  </r>
  <r>
    <x v="13"/>
    <s v="Interpreti Veneziani"/>
    <n v="64"/>
    <x v="1"/>
    <s v="Débito XP"/>
    <x v="0"/>
    <x v="6"/>
    <s v="Concerto de Vivaldi do grupo acima, em Veneza. Muito bom!"/>
  </r>
  <r>
    <x v="14"/>
    <s v="Beauty Fly SAS"/>
    <n v="36"/>
    <x v="1"/>
    <s v="The One"/>
    <x v="5"/>
    <x v="2"/>
    <s v="4 conjuntos de unhas postiças em Veneza"/>
  </r>
  <r>
    <x v="14"/>
    <s v="Giardino d’Oriente"/>
    <n v="23.8"/>
    <x v="1"/>
    <s v="The One"/>
    <x v="5"/>
    <x v="2"/>
    <s v="2 lenços de seda em Veneza"/>
  </r>
  <r>
    <x v="14"/>
    <s v="Ristorante Roberto Venezia"/>
    <n v="29.12"/>
    <x v="1"/>
    <s v="Débito XP"/>
    <x v="0"/>
    <x v="0"/>
    <s v="Dois drinks de uma água em Veneza"/>
  </r>
  <r>
    <x v="14"/>
    <s v="Basílica di SS Giovanni e Paolo"/>
    <n v="7"/>
    <x v="1"/>
    <s v="Cash"/>
    <x v="0"/>
    <x v="6"/>
    <s v="Visita à intrigante basílica em Veneza, com os restos do pai de João Batista!"/>
  </r>
  <r>
    <x v="14"/>
    <s v="Basílica di San Marco"/>
    <n v="60"/>
    <x v="1"/>
    <s v="The One"/>
    <x v="0"/>
    <x v="6"/>
    <s v="Visita à belíssima e vastíssima basílica recoberta de mosaicos de ouro "/>
  </r>
  <r>
    <x v="14"/>
    <s v="Do Fradei S.R.L."/>
    <n v="6.8"/>
    <x v="1"/>
    <s v="Débito XP"/>
    <x v="0"/>
    <x v="0"/>
    <s v="Melhor gelato de Venez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332DB-7F25-4601-A2E2-71F3CA8102AE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D5:E19" firstHeaderRow="1" firstDataRow="1" firstDataCol="1" rowPageCount="1" colPageCount="1"/>
  <pivotFields count="8">
    <pivotField numFmtId="14" showAll="0">
      <items count="16">
        <item x="4"/>
        <item x="1"/>
        <item x="0"/>
        <item x="2"/>
        <item x="3"/>
        <item x="5"/>
        <item x="6"/>
        <item x="8"/>
        <item x="7"/>
        <item x="9"/>
        <item x="10"/>
        <item x="11"/>
        <item x="12"/>
        <item x="13"/>
        <item x="14"/>
        <item t="default"/>
      </items>
    </pivotField>
    <pivotField showAll="0"/>
    <pivotField dataField="1" showAll="0"/>
    <pivotField axis="axisPage" showAll="0">
      <items count="3">
        <item x="0"/>
        <item x="1"/>
        <item t="default"/>
      </items>
    </pivotField>
    <pivotField showAll="0"/>
    <pivotField axis="axisRow" showAll="0" sortType="descending">
      <items count="9">
        <item x="5"/>
        <item x="3"/>
        <item x="6"/>
        <item x="1"/>
        <item x="4"/>
        <item x="2"/>
        <item x="0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0">
        <item x="4"/>
        <item x="6"/>
        <item x="0"/>
        <item m="1" x="7"/>
        <item x="3"/>
        <item m="1" x="8"/>
        <item x="1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5"/>
    <field x="6"/>
  </rowFields>
  <rowItems count="14">
    <i>
      <x v="6"/>
    </i>
    <i r="1">
      <x v="4"/>
    </i>
    <i r="1">
      <x v="2"/>
    </i>
    <i r="1">
      <x v="1"/>
    </i>
    <i r="1">
      <x v="7"/>
    </i>
    <i>
      <x v="4"/>
    </i>
    <i r="1">
      <x v="8"/>
    </i>
    <i>
      <x/>
    </i>
    <i r="1">
      <x v="8"/>
    </i>
    <i>
      <x v="1"/>
    </i>
    <i r="1">
      <x/>
    </i>
    <i>
      <x v="2"/>
    </i>
    <i r="1">
      <x v="8"/>
    </i>
    <i t="grand">
      <x/>
    </i>
  </rowItems>
  <colItems count="1">
    <i/>
  </colItems>
  <pageFields count="1">
    <pageField fld="3" item="1" hier="-1"/>
  </pageFields>
  <dataFields count="1">
    <dataField name="Sum of Valor" fld="2" baseField="0" baseItem="0" numFmtId="43"/>
  </dataFields>
  <pivotTableStyleInfo name="PivotStyleLight16" showRowHeaders="1" showColHeaders="1" showRowStripes="0" showColStripes="0" showLastColumn="1"/>
  <filters count="1">
    <filter fld="0" type="dateBetween" evalOrder="-1" id="16" name="Data">
      <autoFilter ref="A1">
        <filterColumn colId="0">
          <customFilters and="1">
            <customFilter operator="greaterThanOrEqual" val="46178"/>
            <customFilter operator="lessThanOrEqual" val="46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66F74D-B077-8E4D-AB7F-431969C87D2B}" name="Money" displayName="Money" ref="A1:I115" totalsRowShown="0">
  <autoFilter ref="A1:I115" xr:uid="{C766F74D-B077-8E4D-AB7F-431969C87D2B}">
    <filterColumn colId="0">
      <filters>
        <dateGroupItem year="2026" month="6" dateTimeGrouping="month"/>
      </filters>
    </filterColumn>
  </autoFilter>
  <tableColumns count="9">
    <tableColumn id="1" xr3:uid="{41E056A7-9354-F849-89CD-ACFC130B203C}" name="Data" dataDxfId="0"/>
    <tableColumn id="2" xr3:uid="{9E203E24-35BA-D64C-BA38-F99A72B338C4}" name="Estabelecimento"/>
    <tableColumn id="3" xr3:uid="{15787B54-3E50-6F45-8EF9-78098F2BCE13}" name="Valor"/>
    <tableColumn id="4" xr3:uid="{8AC49EAA-E920-494B-9840-BA97F4B5B7C4}" name="Moeda "/>
    <tableColumn id="5" xr3:uid="{E60E6733-DADE-F647-B4DC-E0E8DC0BD164}" name="Cartão "/>
    <tableColumn id="6" xr3:uid="{FB130857-DDE7-8B4F-9277-0B8D1A4D0C55}" name="Categoria "/>
    <tableColumn id="7" xr3:uid="{D4D1E888-4B2B-9B47-85F6-066BBB2227B4}" name="Sub-Cat"/>
    <tableColumn id="8" xr3:uid="{B86FE8A4-3059-3248-A863-112F4F8D9C18}" name="Memo"/>
    <tableColumn id="9" xr3:uid="{34856C66-97EE-46A4-9F67-23C4E705F272}" name="Exportado 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EE3B0338-9539-429C-9982-AD7253937151}" sourceName="Data">
  <pivotTables>
    <pivotTable tabId="2" name="PivotTable1"/>
  </pivotTables>
  <state minimalRefreshVersion="6" lastRefreshVersion="6" pivotCacheId="692806159" filterType="dateBetween">
    <selection startDate="2026-06-05T00:00:00" endDate="2026-06-23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3410413D-7DBE-4997-90D1-79327FAC7974}" cache="NativeTimeline_Data" caption="Data" level="3" selectionLevel="3" scrollPosition="2026-05-28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9037-8513-BA4A-A3F8-06A6B0F71125}">
  <dimension ref="A1:I115"/>
  <sheetViews>
    <sheetView showGridLines="0" tabSelected="1" zoomScaleNormal="100" zoomScaleSheetLayoutView="100" workbookViewId="0">
      <selection activeCell="I1" sqref="I1"/>
    </sheetView>
  </sheetViews>
  <sheetFormatPr defaultRowHeight="15" x14ac:dyDescent="0.25"/>
  <cols>
    <col min="1" max="1" width="10.42578125" bestFit="1" customWidth="1"/>
    <col min="2" max="2" width="17.85546875" customWidth="1"/>
    <col min="4" max="5" width="9.7109375" bestFit="1" customWidth="1"/>
    <col min="6" max="6" width="12.28515625" bestFit="1" customWidth="1"/>
    <col min="7" max="7" width="10.28515625" bestFit="1" customWidth="1"/>
    <col min="8" max="8" width="8.85546875" bestFit="1" customWidth="1"/>
    <col min="9" max="9" width="15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247</v>
      </c>
    </row>
    <row r="2" spans="1:9" hidden="1" x14ac:dyDescent="0.25">
      <c r="A2" s="1">
        <v>46067</v>
      </c>
      <c r="B2" t="s">
        <v>8</v>
      </c>
      <c r="C2">
        <v>75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9" hidden="1" x14ac:dyDescent="0.25">
      <c r="A3" s="1">
        <v>46043</v>
      </c>
      <c r="B3" t="s">
        <v>14</v>
      </c>
      <c r="C3">
        <v>1070</v>
      </c>
      <c r="D3" t="s">
        <v>9</v>
      </c>
      <c r="E3" t="s">
        <v>10</v>
      </c>
      <c r="F3" t="s">
        <v>15</v>
      </c>
      <c r="G3" t="s">
        <v>16</v>
      </c>
      <c r="H3" t="s">
        <v>17</v>
      </c>
    </row>
    <row r="4" spans="1:9" hidden="1" x14ac:dyDescent="0.25">
      <c r="A4" s="1">
        <v>46069</v>
      </c>
      <c r="B4" t="s">
        <v>18</v>
      </c>
      <c r="C4">
        <v>1878.3</v>
      </c>
      <c r="D4" t="s">
        <v>9</v>
      </c>
      <c r="E4" t="s">
        <v>10</v>
      </c>
      <c r="F4" t="s">
        <v>19</v>
      </c>
      <c r="H4" t="s">
        <v>20</v>
      </c>
    </row>
    <row r="5" spans="1:9" hidden="1" x14ac:dyDescent="0.25">
      <c r="A5" s="1">
        <v>46043</v>
      </c>
      <c r="B5" t="s">
        <v>14</v>
      </c>
      <c r="C5">
        <v>1260</v>
      </c>
      <c r="D5" t="s">
        <v>9</v>
      </c>
      <c r="E5" t="s">
        <v>10</v>
      </c>
      <c r="F5" t="s">
        <v>15</v>
      </c>
      <c r="G5" t="s">
        <v>16</v>
      </c>
      <c r="H5" t="s">
        <v>17</v>
      </c>
    </row>
    <row r="6" spans="1:9" x14ac:dyDescent="0.25">
      <c r="A6" s="1">
        <v>46181</v>
      </c>
      <c r="B6" t="s">
        <v>21</v>
      </c>
      <c r="C6">
        <v>1383.15</v>
      </c>
      <c r="D6" t="s">
        <v>22</v>
      </c>
      <c r="E6" t="s">
        <v>10</v>
      </c>
      <c r="F6" t="s">
        <v>11</v>
      </c>
      <c r="G6" t="s">
        <v>23</v>
      </c>
      <c r="H6" t="s">
        <v>24</v>
      </c>
    </row>
    <row r="7" spans="1:9" x14ac:dyDescent="0.25">
      <c r="A7" s="1">
        <v>46181</v>
      </c>
      <c r="B7" t="s">
        <v>25</v>
      </c>
      <c r="C7">
        <v>7</v>
      </c>
      <c r="D7" t="s">
        <v>22</v>
      </c>
      <c r="E7" t="s">
        <v>10</v>
      </c>
      <c r="F7" t="s">
        <v>11</v>
      </c>
      <c r="G7" t="s">
        <v>12</v>
      </c>
      <c r="H7" t="s">
        <v>26</v>
      </c>
    </row>
    <row r="8" spans="1:9" hidden="1" x14ac:dyDescent="0.25">
      <c r="A8" s="1">
        <v>46030</v>
      </c>
      <c r="B8" t="s">
        <v>27</v>
      </c>
      <c r="C8">
        <v>12</v>
      </c>
      <c r="D8" t="s">
        <v>22</v>
      </c>
      <c r="E8" t="s">
        <v>10</v>
      </c>
      <c r="F8" t="s">
        <v>11</v>
      </c>
      <c r="G8" t="s">
        <v>12</v>
      </c>
      <c r="H8" t="s">
        <v>28</v>
      </c>
    </row>
    <row r="9" spans="1:9" x14ac:dyDescent="0.25">
      <c r="A9" s="1">
        <v>46181</v>
      </c>
      <c r="B9" t="s">
        <v>29</v>
      </c>
      <c r="C9">
        <v>7.4</v>
      </c>
      <c r="D9" t="s">
        <v>22</v>
      </c>
      <c r="E9" t="s">
        <v>30</v>
      </c>
      <c r="F9" t="s">
        <v>11</v>
      </c>
      <c r="G9" t="s">
        <v>12</v>
      </c>
      <c r="H9" t="s">
        <v>31</v>
      </c>
    </row>
    <row r="10" spans="1:9" x14ac:dyDescent="0.25">
      <c r="A10" s="1">
        <v>46181</v>
      </c>
      <c r="B10" t="s">
        <v>32</v>
      </c>
      <c r="C10">
        <v>10</v>
      </c>
      <c r="D10" t="s">
        <v>22</v>
      </c>
      <c r="E10" t="s">
        <v>30</v>
      </c>
      <c r="F10" t="s">
        <v>11</v>
      </c>
      <c r="G10" t="s">
        <v>12</v>
      </c>
      <c r="H10" t="s">
        <v>33</v>
      </c>
    </row>
    <row r="11" spans="1:9" x14ac:dyDescent="0.25">
      <c r="A11" s="1">
        <v>46181</v>
      </c>
      <c r="B11" t="s">
        <v>34</v>
      </c>
      <c r="C11">
        <v>57</v>
      </c>
      <c r="D11" t="s">
        <v>22</v>
      </c>
      <c r="E11" t="s">
        <v>30</v>
      </c>
      <c r="F11" t="s">
        <v>11</v>
      </c>
      <c r="G11" t="s">
        <v>12</v>
      </c>
      <c r="H11" t="s">
        <v>35</v>
      </c>
    </row>
    <row r="12" spans="1:9" x14ac:dyDescent="0.25">
      <c r="A12" s="1">
        <v>46182</v>
      </c>
      <c r="B12" t="s">
        <v>36</v>
      </c>
      <c r="C12">
        <v>13</v>
      </c>
      <c r="D12" t="s">
        <v>22</v>
      </c>
      <c r="E12" t="s">
        <v>30</v>
      </c>
      <c r="F12" t="s">
        <v>37</v>
      </c>
      <c r="G12" t="s">
        <v>38</v>
      </c>
      <c r="H12" t="s">
        <v>39</v>
      </c>
    </row>
    <row r="13" spans="1:9" x14ac:dyDescent="0.25">
      <c r="A13" s="1">
        <v>46182</v>
      </c>
      <c r="B13" t="s">
        <v>40</v>
      </c>
      <c r="C13">
        <v>7</v>
      </c>
      <c r="D13" t="s">
        <v>22</v>
      </c>
      <c r="E13" t="s">
        <v>30</v>
      </c>
      <c r="F13" t="s">
        <v>11</v>
      </c>
      <c r="G13" t="s">
        <v>12</v>
      </c>
      <c r="H13" t="s">
        <v>41</v>
      </c>
    </row>
    <row r="14" spans="1:9" x14ac:dyDescent="0.25">
      <c r="A14" s="1">
        <v>46182</v>
      </c>
      <c r="B14" t="s">
        <v>42</v>
      </c>
      <c r="C14">
        <v>47</v>
      </c>
      <c r="D14" t="s">
        <v>22</v>
      </c>
      <c r="E14" t="s">
        <v>30</v>
      </c>
      <c r="F14" t="s">
        <v>11</v>
      </c>
      <c r="G14" t="s">
        <v>12</v>
      </c>
      <c r="H14" t="s">
        <v>43</v>
      </c>
    </row>
    <row r="15" spans="1:9" x14ac:dyDescent="0.25">
      <c r="A15" s="1">
        <v>46183</v>
      </c>
      <c r="B15" t="s">
        <v>44</v>
      </c>
      <c r="C15">
        <v>5</v>
      </c>
      <c r="D15" t="s">
        <v>22</v>
      </c>
      <c r="E15" t="s">
        <v>45</v>
      </c>
      <c r="F15" t="s">
        <v>11</v>
      </c>
      <c r="G15" t="s">
        <v>12</v>
      </c>
      <c r="H15" t="s">
        <v>46</v>
      </c>
    </row>
    <row r="16" spans="1:9" x14ac:dyDescent="0.25">
      <c r="A16" s="1">
        <v>46185</v>
      </c>
      <c r="B16" t="s">
        <v>47</v>
      </c>
      <c r="C16">
        <v>5</v>
      </c>
      <c r="D16" t="s">
        <v>22</v>
      </c>
      <c r="E16" t="s">
        <v>30</v>
      </c>
      <c r="F16" t="s">
        <v>11</v>
      </c>
      <c r="G16" t="s">
        <v>12</v>
      </c>
      <c r="H16" t="s">
        <v>48</v>
      </c>
    </row>
    <row r="17" spans="1:8" x14ac:dyDescent="0.25">
      <c r="A17" s="1">
        <v>46185</v>
      </c>
      <c r="B17" t="s">
        <v>49</v>
      </c>
      <c r="C17">
        <v>14</v>
      </c>
      <c r="D17" t="s">
        <v>22</v>
      </c>
      <c r="E17" t="s">
        <v>30</v>
      </c>
      <c r="F17" t="s">
        <v>11</v>
      </c>
      <c r="G17" t="s">
        <v>12</v>
      </c>
      <c r="H17" t="s">
        <v>50</v>
      </c>
    </row>
    <row r="18" spans="1:8" x14ac:dyDescent="0.25">
      <c r="A18" s="1">
        <v>46183</v>
      </c>
      <c r="B18" t="s">
        <v>51</v>
      </c>
      <c r="C18">
        <v>57.5</v>
      </c>
      <c r="D18" t="s">
        <v>22</v>
      </c>
      <c r="E18" t="s">
        <v>30</v>
      </c>
      <c r="F18" t="s">
        <v>11</v>
      </c>
      <c r="G18" t="s">
        <v>12</v>
      </c>
      <c r="H18" t="s">
        <v>52</v>
      </c>
    </row>
    <row r="19" spans="1:8" x14ac:dyDescent="0.25">
      <c r="A19" s="1">
        <v>46185</v>
      </c>
      <c r="B19" t="s">
        <v>53</v>
      </c>
      <c r="C19">
        <v>48</v>
      </c>
      <c r="D19" t="s">
        <v>22</v>
      </c>
      <c r="E19" t="s">
        <v>45</v>
      </c>
      <c r="F19" t="s">
        <v>11</v>
      </c>
      <c r="G19" t="s">
        <v>23</v>
      </c>
      <c r="H19" t="s">
        <v>54</v>
      </c>
    </row>
    <row r="20" spans="1:8" x14ac:dyDescent="0.25">
      <c r="A20" s="1">
        <v>46185</v>
      </c>
      <c r="B20" t="s">
        <v>55</v>
      </c>
      <c r="C20">
        <v>60</v>
      </c>
      <c r="D20" t="s">
        <v>22</v>
      </c>
      <c r="E20" t="s">
        <v>45</v>
      </c>
      <c r="F20" t="s">
        <v>11</v>
      </c>
      <c r="G20" t="s">
        <v>56</v>
      </c>
      <c r="H20" t="s">
        <v>57</v>
      </c>
    </row>
    <row r="21" spans="1:8" x14ac:dyDescent="0.25">
      <c r="A21" s="1">
        <v>46183</v>
      </c>
      <c r="B21" t="s">
        <v>58</v>
      </c>
      <c r="C21">
        <v>15</v>
      </c>
      <c r="D21" t="s">
        <v>22</v>
      </c>
      <c r="E21" t="s">
        <v>30</v>
      </c>
      <c r="F21" t="s">
        <v>11</v>
      </c>
      <c r="G21" t="s">
        <v>12</v>
      </c>
    </row>
    <row r="22" spans="1:8" x14ac:dyDescent="0.25">
      <c r="A22" s="1">
        <v>46183</v>
      </c>
      <c r="B22" t="s">
        <v>59</v>
      </c>
      <c r="C22">
        <v>7</v>
      </c>
      <c r="D22" t="s">
        <v>22</v>
      </c>
      <c r="E22" t="s">
        <v>30</v>
      </c>
      <c r="F22" t="s">
        <v>11</v>
      </c>
      <c r="G22" t="s">
        <v>12</v>
      </c>
      <c r="H22" t="s">
        <v>60</v>
      </c>
    </row>
    <row r="23" spans="1:8" x14ac:dyDescent="0.25">
      <c r="A23" s="1">
        <v>46183</v>
      </c>
      <c r="B23" t="s">
        <v>61</v>
      </c>
      <c r="C23">
        <v>109</v>
      </c>
      <c r="D23" t="s">
        <v>22</v>
      </c>
      <c r="E23" t="s">
        <v>30</v>
      </c>
      <c r="F23" t="s">
        <v>11</v>
      </c>
      <c r="G23" t="s">
        <v>12</v>
      </c>
      <c r="H23" t="s">
        <v>62</v>
      </c>
    </row>
    <row r="24" spans="1:8" x14ac:dyDescent="0.25">
      <c r="A24" s="1">
        <v>46184</v>
      </c>
      <c r="B24" t="s">
        <v>63</v>
      </c>
      <c r="C24">
        <v>57</v>
      </c>
      <c r="D24" t="s">
        <v>22</v>
      </c>
      <c r="E24" t="s">
        <v>30</v>
      </c>
      <c r="F24" t="s">
        <v>11</v>
      </c>
      <c r="G24" t="s">
        <v>12</v>
      </c>
      <c r="H24" t="s">
        <v>64</v>
      </c>
    </row>
    <row r="25" spans="1:8" x14ac:dyDescent="0.25">
      <c r="A25" s="1">
        <v>46184</v>
      </c>
      <c r="B25" t="s">
        <v>65</v>
      </c>
      <c r="C25">
        <v>322.10000000000002</v>
      </c>
      <c r="D25" t="s">
        <v>22</v>
      </c>
      <c r="E25" t="s">
        <v>30</v>
      </c>
      <c r="F25" t="s">
        <v>66</v>
      </c>
      <c r="H25" t="s">
        <v>67</v>
      </c>
    </row>
    <row r="26" spans="1:8" x14ac:dyDescent="0.25">
      <c r="A26" s="1">
        <v>46184</v>
      </c>
      <c r="B26" t="s">
        <v>68</v>
      </c>
      <c r="C26">
        <v>13.3</v>
      </c>
      <c r="D26" t="s">
        <v>22</v>
      </c>
      <c r="E26" t="s">
        <v>30</v>
      </c>
      <c r="F26" t="s">
        <v>11</v>
      </c>
      <c r="G26" t="s">
        <v>12</v>
      </c>
      <c r="H26" t="s">
        <v>69</v>
      </c>
    </row>
    <row r="27" spans="1:8" x14ac:dyDescent="0.25">
      <c r="A27" s="1">
        <v>46184</v>
      </c>
      <c r="B27" t="s">
        <v>70</v>
      </c>
      <c r="C27">
        <v>10</v>
      </c>
      <c r="D27" t="s">
        <v>22</v>
      </c>
      <c r="E27" t="s">
        <v>30</v>
      </c>
      <c r="F27" t="s">
        <v>11</v>
      </c>
      <c r="G27" t="s">
        <v>71</v>
      </c>
      <c r="H27" t="s">
        <v>72</v>
      </c>
    </row>
    <row r="28" spans="1:8" x14ac:dyDescent="0.25">
      <c r="A28" s="1">
        <v>46184</v>
      </c>
      <c r="B28" t="s">
        <v>73</v>
      </c>
      <c r="C28">
        <v>10.199999999999999</v>
      </c>
      <c r="D28" t="s">
        <v>22</v>
      </c>
      <c r="E28" t="s">
        <v>30</v>
      </c>
      <c r="F28" t="s">
        <v>11</v>
      </c>
      <c r="G28" t="s">
        <v>12</v>
      </c>
      <c r="H28" t="s">
        <v>74</v>
      </c>
    </row>
    <row r="29" spans="1:8" x14ac:dyDescent="0.25">
      <c r="A29" s="1">
        <v>46184</v>
      </c>
      <c r="B29" t="s">
        <v>75</v>
      </c>
      <c r="C29">
        <v>8</v>
      </c>
      <c r="D29" t="s">
        <v>22</v>
      </c>
      <c r="E29" t="s">
        <v>30</v>
      </c>
      <c r="F29" t="s">
        <v>11</v>
      </c>
      <c r="G29" t="s">
        <v>12</v>
      </c>
      <c r="H29" t="s">
        <v>76</v>
      </c>
    </row>
    <row r="30" spans="1:8" x14ac:dyDescent="0.25">
      <c r="A30" s="1">
        <v>46184</v>
      </c>
      <c r="B30" t="s">
        <v>77</v>
      </c>
      <c r="C30">
        <v>46.5</v>
      </c>
      <c r="D30" t="s">
        <v>22</v>
      </c>
      <c r="E30" t="s">
        <v>30</v>
      </c>
      <c r="F30" t="s">
        <v>11</v>
      </c>
      <c r="G30" t="s">
        <v>12</v>
      </c>
      <c r="H30" t="s">
        <v>78</v>
      </c>
    </row>
    <row r="31" spans="1:8" x14ac:dyDescent="0.25">
      <c r="A31" s="1">
        <v>46185</v>
      </c>
      <c r="B31" t="s">
        <v>79</v>
      </c>
      <c r="C31">
        <v>12</v>
      </c>
      <c r="D31" t="s">
        <v>22</v>
      </c>
      <c r="E31" t="s">
        <v>30</v>
      </c>
      <c r="F31" t="s">
        <v>11</v>
      </c>
      <c r="G31" t="s">
        <v>23</v>
      </c>
      <c r="H31" t="s">
        <v>80</v>
      </c>
    </row>
    <row r="32" spans="1:8" x14ac:dyDescent="0.25">
      <c r="A32" s="1">
        <v>46182</v>
      </c>
      <c r="B32" t="s">
        <v>79</v>
      </c>
      <c r="C32">
        <v>292.5</v>
      </c>
      <c r="D32" t="s">
        <v>22</v>
      </c>
      <c r="E32" t="s">
        <v>10</v>
      </c>
      <c r="F32" t="s">
        <v>11</v>
      </c>
      <c r="G32" t="s">
        <v>23</v>
      </c>
      <c r="H32" t="s">
        <v>81</v>
      </c>
    </row>
    <row r="33" spans="1:8" x14ac:dyDescent="0.25">
      <c r="A33" s="1">
        <v>46185</v>
      </c>
      <c r="B33" t="s">
        <v>82</v>
      </c>
      <c r="C33">
        <v>108</v>
      </c>
      <c r="D33" t="s">
        <v>22</v>
      </c>
      <c r="E33" t="s">
        <v>30</v>
      </c>
      <c r="F33" t="s">
        <v>11</v>
      </c>
      <c r="G33" t="s">
        <v>12</v>
      </c>
      <c r="H33" t="s">
        <v>83</v>
      </c>
    </row>
    <row r="34" spans="1:8" x14ac:dyDescent="0.25">
      <c r="A34" s="1">
        <v>46185</v>
      </c>
      <c r="B34" t="s">
        <v>84</v>
      </c>
      <c r="C34">
        <v>50.5</v>
      </c>
      <c r="D34" t="s">
        <v>22</v>
      </c>
      <c r="E34" t="s">
        <v>30</v>
      </c>
      <c r="F34" t="s">
        <v>11</v>
      </c>
      <c r="G34" t="s">
        <v>12</v>
      </c>
      <c r="H34" t="s">
        <v>85</v>
      </c>
    </row>
    <row r="35" spans="1:8" x14ac:dyDescent="0.25">
      <c r="A35" s="1">
        <v>46186</v>
      </c>
      <c r="B35" t="s">
        <v>86</v>
      </c>
      <c r="C35">
        <v>384.96</v>
      </c>
      <c r="D35" t="s">
        <v>22</v>
      </c>
      <c r="E35" t="s">
        <v>30</v>
      </c>
      <c r="F35" t="s">
        <v>11</v>
      </c>
      <c r="G35" t="s">
        <v>56</v>
      </c>
      <c r="H35" t="s">
        <v>87</v>
      </c>
    </row>
    <row r="36" spans="1:8" x14ac:dyDescent="0.25">
      <c r="A36" s="1">
        <v>46186</v>
      </c>
      <c r="B36" t="s">
        <v>88</v>
      </c>
      <c r="C36">
        <v>21</v>
      </c>
      <c r="D36" t="s">
        <v>22</v>
      </c>
      <c r="E36" t="s">
        <v>30</v>
      </c>
      <c r="F36" t="s">
        <v>11</v>
      </c>
      <c r="G36" t="s">
        <v>12</v>
      </c>
      <c r="H36" t="s">
        <v>89</v>
      </c>
    </row>
    <row r="37" spans="1:8" x14ac:dyDescent="0.25">
      <c r="A37" s="1">
        <v>46186</v>
      </c>
      <c r="B37" t="s">
        <v>90</v>
      </c>
      <c r="C37">
        <v>10</v>
      </c>
      <c r="D37" t="s">
        <v>22</v>
      </c>
      <c r="E37" t="s">
        <v>30</v>
      </c>
      <c r="F37" t="s">
        <v>11</v>
      </c>
      <c r="G37" t="s">
        <v>71</v>
      </c>
      <c r="H37" t="s">
        <v>91</v>
      </c>
    </row>
    <row r="38" spans="1:8" x14ac:dyDescent="0.25">
      <c r="A38" s="1">
        <v>46186</v>
      </c>
      <c r="B38" t="s">
        <v>90</v>
      </c>
      <c r="C38">
        <v>3</v>
      </c>
      <c r="D38" t="s">
        <v>22</v>
      </c>
      <c r="E38" t="s">
        <v>30</v>
      </c>
      <c r="F38" t="s">
        <v>37</v>
      </c>
      <c r="G38" t="s">
        <v>38</v>
      </c>
      <c r="H38" t="s">
        <v>92</v>
      </c>
    </row>
    <row r="39" spans="1:8" x14ac:dyDescent="0.25">
      <c r="A39" s="1">
        <v>46186</v>
      </c>
      <c r="B39" t="s">
        <v>93</v>
      </c>
      <c r="C39">
        <v>7</v>
      </c>
      <c r="D39" t="s">
        <v>22</v>
      </c>
      <c r="E39" t="s">
        <v>30</v>
      </c>
      <c r="F39" t="s">
        <v>11</v>
      </c>
      <c r="G39" t="s">
        <v>12</v>
      </c>
      <c r="H39" t="s">
        <v>94</v>
      </c>
    </row>
    <row r="40" spans="1:8" x14ac:dyDescent="0.25">
      <c r="A40" s="1">
        <v>46186</v>
      </c>
      <c r="B40" t="s">
        <v>95</v>
      </c>
      <c r="C40">
        <v>3</v>
      </c>
      <c r="D40" t="s">
        <v>22</v>
      </c>
      <c r="E40" t="s">
        <v>30</v>
      </c>
      <c r="F40" t="s">
        <v>11</v>
      </c>
      <c r="G40" t="s">
        <v>56</v>
      </c>
      <c r="H40" t="s">
        <v>96</v>
      </c>
    </row>
    <row r="41" spans="1:8" x14ac:dyDescent="0.25">
      <c r="A41" s="1">
        <v>46186</v>
      </c>
      <c r="B41" t="s">
        <v>97</v>
      </c>
      <c r="C41">
        <v>3</v>
      </c>
      <c r="D41" t="s">
        <v>22</v>
      </c>
      <c r="E41" t="s">
        <v>30</v>
      </c>
      <c r="F41" t="s">
        <v>11</v>
      </c>
      <c r="G41" t="s">
        <v>56</v>
      </c>
      <c r="H41" t="s">
        <v>98</v>
      </c>
    </row>
    <row r="42" spans="1:8" x14ac:dyDescent="0.25">
      <c r="A42" s="1">
        <v>46186</v>
      </c>
      <c r="B42" t="s">
        <v>99</v>
      </c>
      <c r="C42">
        <v>48.2</v>
      </c>
      <c r="D42" t="s">
        <v>22</v>
      </c>
      <c r="E42" t="s">
        <v>30</v>
      </c>
      <c r="F42" t="s">
        <v>11</v>
      </c>
      <c r="G42" t="s">
        <v>12</v>
      </c>
      <c r="H42" t="s">
        <v>100</v>
      </c>
    </row>
    <row r="43" spans="1:8" x14ac:dyDescent="0.25">
      <c r="A43" s="1">
        <v>46186</v>
      </c>
      <c r="B43" t="s">
        <v>93</v>
      </c>
      <c r="C43">
        <v>6</v>
      </c>
      <c r="D43" t="s">
        <v>22</v>
      </c>
      <c r="E43" t="s">
        <v>30</v>
      </c>
      <c r="F43" t="s">
        <v>11</v>
      </c>
      <c r="G43" t="s">
        <v>12</v>
      </c>
      <c r="H43" t="s">
        <v>101</v>
      </c>
    </row>
    <row r="44" spans="1:8" x14ac:dyDescent="0.25">
      <c r="A44" s="1">
        <v>46182</v>
      </c>
      <c r="B44" t="s">
        <v>102</v>
      </c>
      <c r="C44">
        <v>67</v>
      </c>
      <c r="D44" t="s">
        <v>22</v>
      </c>
      <c r="E44" t="s">
        <v>10</v>
      </c>
      <c r="F44" t="s">
        <v>11</v>
      </c>
      <c r="G44" t="s">
        <v>12</v>
      </c>
      <c r="H44" t="s">
        <v>103</v>
      </c>
    </row>
    <row r="45" spans="1:8" x14ac:dyDescent="0.25">
      <c r="A45" s="1">
        <v>46187</v>
      </c>
      <c r="B45" t="s">
        <v>104</v>
      </c>
      <c r="C45">
        <v>33.869999999999997</v>
      </c>
      <c r="D45" t="s">
        <v>22</v>
      </c>
      <c r="E45" t="s">
        <v>30</v>
      </c>
      <c r="F45" t="s">
        <v>11</v>
      </c>
      <c r="G45" t="s">
        <v>71</v>
      </c>
      <c r="H45" t="s">
        <v>105</v>
      </c>
    </row>
    <row r="46" spans="1:8" ht="15" customHeight="1" x14ac:dyDescent="0.25">
      <c r="A46" s="1">
        <v>46187</v>
      </c>
      <c r="B46" t="s">
        <v>106</v>
      </c>
      <c r="C46">
        <v>95</v>
      </c>
      <c r="D46" t="s">
        <v>22</v>
      </c>
      <c r="E46" t="s">
        <v>30</v>
      </c>
      <c r="F46" t="s">
        <v>11</v>
      </c>
      <c r="G46" t="s">
        <v>12</v>
      </c>
      <c r="H46" t="s">
        <v>107</v>
      </c>
    </row>
    <row r="47" spans="1:8" x14ac:dyDescent="0.25">
      <c r="A47" s="1">
        <v>46187</v>
      </c>
      <c r="B47" t="s">
        <v>108</v>
      </c>
      <c r="C47">
        <v>5.6</v>
      </c>
      <c r="D47" t="s">
        <v>22</v>
      </c>
      <c r="E47" t="s">
        <v>30</v>
      </c>
      <c r="F47" t="s">
        <v>11</v>
      </c>
      <c r="G47" t="s">
        <v>12</v>
      </c>
      <c r="H47" t="s">
        <v>109</v>
      </c>
    </row>
    <row r="48" spans="1:8" x14ac:dyDescent="0.25">
      <c r="A48" s="1">
        <v>46187</v>
      </c>
      <c r="B48" t="s">
        <v>110</v>
      </c>
      <c r="C48">
        <v>14</v>
      </c>
      <c r="D48" t="s">
        <v>22</v>
      </c>
      <c r="E48" t="s">
        <v>30</v>
      </c>
      <c r="F48" t="s">
        <v>11</v>
      </c>
      <c r="G48" t="s">
        <v>56</v>
      </c>
      <c r="H48" t="s">
        <v>111</v>
      </c>
    </row>
    <row r="49" spans="1:8" x14ac:dyDescent="0.25">
      <c r="A49" s="1">
        <v>46187</v>
      </c>
      <c r="B49" t="s">
        <v>112</v>
      </c>
      <c r="C49">
        <v>1.3</v>
      </c>
      <c r="D49" t="s">
        <v>22</v>
      </c>
      <c r="E49" t="s">
        <v>30</v>
      </c>
      <c r="F49" t="s">
        <v>11</v>
      </c>
      <c r="G49" t="s">
        <v>56</v>
      </c>
      <c r="H49" t="s">
        <v>113</v>
      </c>
    </row>
    <row r="50" spans="1:8" x14ac:dyDescent="0.25">
      <c r="A50" s="1">
        <v>46187</v>
      </c>
      <c r="B50" t="s">
        <v>114</v>
      </c>
      <c r="C50">
        <v>6.8</v>
      </c>
      <c r="D50" t="s">
        <v>22</v>
      </c>
      <c r="E50" t="s">
        <v>30</v>
      </c>
      <c r="F50" t="s">
        <v>11</v>
      </c>
      <c r="G50" t="s">
        <v>12</v>
      </c>
      <c r="H50" t="s">
        <v>115</v>
      </c>
    </row>
    <row r="51" spans="1:8" x14ac:dyDescent="0.25">
      <c r="A51" s="1">
        <v>46187</v>
      </c>
      <c r="B51" t="s">
        <v>116</v>
      </c>
      <c r="C51">
        <v>3</v>
      </c>
      <c r="D51" t="s">
        <v>22</v>
      </c>
      <c r="E51" t="s">
        <v>30</v>
      </c>
      <c r="F51" t="s">
        <v>11</v>
      </c>
      <c r="G51" t="s">
        <v>12</v>
      </c>
      <c r="H51" t="s">
        <v>117</v>
      </c>
    </row>
    <row r="52" spans="1:8" x14ac:dyDescent="0.25">
      <c r="A52" s="1">
        <v>46187</v>
      </c>
      <c r="B52" t="s">
        <v>118</v>
      </c>
      <c r="C52">
        <v>78</v>
      </c>
      <c r="D52" t="s">
        <v>22</v>
      </c>
      <c r="E52" t="s">
        <v>30</v>
      </c>
      <c r="F52" t="s">
        <v>11</v>
      </c>
      <c r="G52" t="s">
        <v>12</v>
      </c>
      <c r="H52" t="s">
        <v>119</v>
      </c>
    </row>
    <row r="53" spans="1:8" x14ac:dyDescent="0.25">
      <c r="A53" s="1">
        <v>46188</v>
      </c>
      <c r="B53" t="s">
        <v>120</v>
      </c>
      <c r="C53">
        <v>8</v>
      </c>
      <c r="D53" t="s">
        <v>22</v>
      </c>
      <c r="E53" t="s">
        <v>10</v>
      </c>
      <c r="F53" t="s">
        <v>11</v>
      </c>
      <c r="G53" t="s">
        <v>23</v>
      </c>
      <c r="H53" t="s">
        <v>121</v>
      </c>
    </row>
    <row r="54" spans="1:8" x14ac:dyDescent="0.25">
      <c r="A54" s="1">
        <v>46188</v>
      </c>
      <c r="B54" t="s">
        <v>122</v>
      </c>
      <c r="C54">
        <v>18</v>
      </c>
      <c r="D54" t="s">
        <v>22</v>
      </c>
      <c r="E54" t="s">
        <v>10</v>
      </c>
      <c r="F54" t="s">
        <v>11</v>
      </c>
      <c r="G54" t="s">
        <v>12</v>
      </c>
      <c r="H54" t="s">
        <v>123</v>
      </c>
    </row>
    <row r="55" spans="1:8" x14ac:dyDescent="0.25">
      <c r="A55" s="1">
        <v>46188</v>
      </c>
      <c r="B55" t="s">
        <v>124</v>
      </c>
      <c r="C55">
        <v>10</v>
      </c>
      <c r="D55" t="s">
        <v>22</v>
      </c>
      <c r="E55" t="s">
        <v>30</v>
      </c>
      <c r="F55" t="s">
        <v>11</v>
      </c>
      <c r="G55" t="s">
        <v>71</v>
      </c>
      <c r="H55" t="s">
        <v>125</v>
      </c>
    </row>
    <row r="56" spans="1:8" x14ac:dyDescent="0.25">
      <c r="A56" s="1">
        <v>46188</v>
      </c>
      <c r="B56" t="s">
        <v>126</v>
      </c>
      <c r="C56">
        <v>10.5</v>
      </c>
      <c r="D56" t="s">
        <v>22</v>
      </c>
      <c r="E56" t="s">
        <v>10</v>
      </c>
      <c r="F56" t="s">
        <v>11</v>
      </c>
      <c r="G56" t="s">
        <v>12</v>
      </c>
      <c r="H56" t="s">
        <v>127</v>
      </c>
    </row>
    <row r="57" spans="1:8" x14ac:dyDescent="0.25">
      <c r="A57" s="1">
        <v>46188</v>
      </c>
      <c r="B57" t="s">
        <v>128</v>
      </c>
      <c r="C57">
        <v>7.5</v>
      </c>
      <c r="D57" t="s">
        <v>22</v>
      </c>
      <c r="E57" t="s">
        <v>30</v>
      </c>
      <c r="F57" t="s">
        <v>11</v>
      </c>
      <c r="G57" t="s">
        <v>12</v>
      </c>
      <c r="H57" t="s">
        <v>129</v>
      </c>
    </row>
    <row r="58" spans="1:8" x14ac:dyDescent="0.25">
      <c r="A58" s="1">
        <v>46188</v>
      </c>
      <c r="B58" t="s">
        <v>130</v>
      </c>
      <c r="C58">
        <v>7.5</v>
      </c>
      <c r="D58" t="s">
        <v>22</v>
      </c>
      <c r="E58" t="s">
        <v>30</v>
      </c>
      <c r="F58" t="s">
        <v>11</v>
      </c>
      <c r="G58" t="s">
        <v>56</v>
      </c>
      <c r="H58" t="s">
        <v>131</v>
      </c>
    </row>
    <row r="59" spans="1:8" x14ac:dyDescent="0.25">
      <c r="A59" s="1">
        <v>46188</v>
      </c>
      <c r="B59" t="s">
        <v>132</v>
      </c>
      <c r="C59">
        <v>64.5</v>
      </c>
      <c r="D59" t="s">
        <v>22</v>
      </c>
      <c r="E59" t="s">
        <v>30</v>
      </c>
      <c r="F59" t="s">
        <v>11</v>
      </c>
      <c r="G59" t="s">
        <v>12</v>
      </c>
      <c r="H59" t="s">
        <v>133</v>
      </c>
    </row>
    <row r="60" spans="1:8" x14ac:dyDescent="0.25">
      <c r="A60" s="1">
        <v>46189</v>
      </c>
      <c r="B60" t="s">
        <v>134</v>
      </c>
      <c r="C60">
        <v>240</v>
      </c>
      <c r="D60" t="s">
        <v>22</v>
      </c>
      <c r="E60" t="s">
        <v>45</v>
      </c>
      <c r="F60" t="s">
        <v>11</v>
      </c>
      <c r="G60" t="s">
        <v>71</v>
      </c>
      <c r="H60" t="s">
        <v>135</v>
      </c>
    </row>
    <row r="61" spans="1:8" x14ac:dyDescent="0.25">
      <c r="A61" s="1">
        <v>46189</v>
      </c>
      <c r="B61" t="s">
        <v>136</v>
      </c>
      <c r="C61">
        <v>10</v>
      </c>
      <c r="D61" t="s">
        <v>22</v>
      </c>
      <c r="E61" t="s">
        <v>30</v>
      </c>
      <c r="F61" t="s">
        <v>11</v>
      </c>
      <c r="G61" t="s">
        <v>12</v>
      </c>
      <c r="H61" t="s">
        <v>137</v>
      </c>
    </row>
    <row r="62" spans="1:8" x14ac:dyDescent="0.25">
      <c r="A62" s="1">
        <v>46189</v>
      </c>
      <c r="B62" t="s">
        <v>138</v>
      </c>
      <c r="C62">
        <v>27</v>
      </c>
      <c r="D62" t="s">
        <v>22</v>
      </c>
      <c r="E62" t="s">
        <v>30</v>
      </c>
      <c r="F62" t="s">
        <v>11</v>
      </c>
      <c r="G62" t="s">
        <v>12</v>
      </c>
      <c r="H62" t="s">
        <v>139</v>
      </c>
    </row>
    <row r="63" spans="1:8" x14ac:dyDescent="0.25">
      <c r="A63" s="1">
        <v>46189</v>
      </c>
      <c r="B63" t="s">
        <v>140</v>
      </c>
      <c r="C63">
        <v>20</v>
      </c>
      <c r="D63" t="s">
        <v>22</v>
      </c>
      <c r="E63" t="s">
        <v>30</v>
      </c>
      <c r="F63" t="s">
        <v>11</v>
      </c>
      <c r="G63" t="s">
        <v>71</v>
      </c>
      <c r="H63" t="s">
        <v>141</v>
      </c>
    </row>
    <row r="64" spans="1:8" x14ac:dyDescent="0.25">
      <c r="A64" s="1">
        <v>46189</v>
      </c>
      <c r="B64" t="s">
        <v>142</v>
      </c>
      <c r="C64">
        <v>6</v>
      </c>
      <c r="D64" t="s">
        <v>22</v>
      </c>
      <c r="E64" t="s">
        <v>30</v>
      </c>
      <c r="F64" t="s">
        <v>11</v>
      </c>
      <c r="G64" t="s">
        <v>71</v>
      </c>
      <c r="H64" t="s">
        <v>143</v>
      </c>
    </row>
    <row r="65" spans="1:8" x14ac:dyDescent="0.25">
      <c r="A65" s="1">
        <v>46189</v>
      </c>
      <c r="B65" t="s">
        <v>144</v>
      </c>
      <c r="C65">
        <v>49.95</v>
      </c>
      <c r="D65" t="s">
        <v>22</v>
      </c>
      <c r="E65" t="s">
        <v>30</v>
      </c>
      <c r="F65" t="s">
        <v>145</v>
      </c>
      <c r="H65" t="s">
        <v>146</v>
      </c>
    </row>
    <row r="66" spans="1:8" x14ac:dyDescent="0.25">
      <c r="A66" s="1">
        <v>46189</v>
      </c>
      <c r="B66" t="s">
        <v>147</v>
      </c>
      <c r="C66">
        <v>5</v>
      </c>
      <c r="D66" t="s">
        <v>22</v>
      </c>
      <c r="E66" t="s">
        <v>30</v>
      </c>
      <c r="F66" t="s">
        <v>11</v>
      </c>
      <c r="G66" t="s">
        <v>12</v>
      </c>
      <c r="H66" t="s">
        <v>148</v>
      </c>
    </row>
    <row r="67" spans="1:8" x14ac:dyDescent="0.25">
      <c r="A67" s="1">
        <v>46189</v>
      </c>
      <c r="B67" t="s">
        <v>144</v>
      </c>
      <c r="C67">
        <v>45.95</v>
      </c>
      <c r="D67" t="s">
        <v>22</v>
      </c>
      <c r="E67" t="s">
        <v>30</v>
      </c>
      <c r="F67" t="s">
        <v>145</v>
      </c>
      <c r="H67" t="s">
        <v>149</v>
      </c>
    </row>
    <row r="68" spans="1:8" x14ac:dyDescent="0.25">
      <c r="A68" s="1">
        <v>46189</v>
      </c>
      <c r="B68" t="s">
        <v>150</v>
      </c>
      <c r="C68">
        <v>54</v>
      </c>
      <c r="D68" t="s">
        <v>22</v>
      </c>
      <c r="E68" t="s">
        <v>30</v>
      </c>
      <c r="F68" t="s">
        <v>11</v>
      </c>
      <c r="G68" t="s">
        <v>12</v>
      </c>
      <c r="H68" t="s">
        <v>151</v>
      </c>
    </row>
    <row r="69" spans="1:8" x14ac:dyDescent="0.25">
      <c r="A69" s="1">
        <v>46190</v>
      </c>
      <c r="B69" t="s">
        <v>152</v>
      </c>
      <c r="C69">
        <v>577.37</v>
      </c>
      <c r="D69" t="s">
        <v>22</v>
      </c>
      <c r="E69" t="s">
        <v>30</v>
      </c>
      <c r="F69" t="s">
        <v>11</v>
      </c>
      <c r="G69" t="s">
        <v>23</v>
      </c>
      <c r="H69" t="s">
        <v>153</v>
      </c>
    </row>
    <row r="70" spans="1:8" x14ac:dyDescent="0.25">
      <c r="A70" s="1">
        <v>46190</v>
      </c>
      <c r="B70" t="s">
        <v>154</v>
      </c>
      <c r="C70">
        <v>32</v>
      </c>
      <c r="D70" t="s">
        <v>22</v>
      </c>
      <c r="E70" t="s">
        <v>30</v>
      </c>
      <c r="F70" t="s">
        <v>11</v>
      </c>
      <c r="G70" t="s">
        <v>71</v>
      </c>
      <c r="H70" t="s">
        <v>155</v>
      </c>
    </row>
    <row r="71" spans="1:8" x14ac:dyDescent="0.25">
      <c r="A71" s="1">
        <v>46190</v>
      </c>
      <c r="B71" t="s">
        <v>156</v>
      </c>
      <c r="C71">
        <v>794.3</v>
      </c>
      <c r="D71" t="s">
        <v>22</v>
      </c>
      <c r="E71" t="s">
        <v>10</v>
      </c>
      <c r="F71" t="s">
        <v>11</v>
      </c>
      <c r="G71" t="s">
        <v>23</v>
      </c>
      <c r="H71" t="s">
        <v>157</v>
      </c>
    </row>
    <row r="72" spans="1:8" x14ac:dyDescent="0.25">
      <c r="A72" s="1">
        <v>46190</v>
      </c>
      <c r="B72" t="s">
        <v>158</v>
      </c>
      <c r="C72">
        <v>12</v>
      </c>
      <c r="D72" t="s">
        <v>22</v>
      </c>
      <c r="E72" t="s">
        <v>10</v>
      </c>
      <c r="F72" t="s">
        <v>159</v>
      </c>
      <c r="H72" t="s">
        <v>160</v>
      </c>
    </row>
    <row r="73" spans="1:8" x14ac:dyDescent="0.25">
      <c r="A73" s="1">
        <v>46190</v>
      </c>
      <c r="B73" t="s">
        <v>161</v>
      </c>
      <c r="C73">
        <v>18.5</v>
      </c>
      <c r="D73" t="s">
        <v>22</v>
      </c>
      <c r="E73" t="s">
        <v>30</v>
      </c>
      <c r="F73" t="s">
        <v>37</v>
      </c>
      <c r="G73" t="s">
        <v>38</v>
      </c>
      <c r="H73" t="s">
        <v>162</v>
      </c>
    </row>
    <row r="74" spans="1:8" x14ac:dyDescent="0.25">
      <c r="A74" s="1">
        <v>46190</v>
      </c>
      <c r="B74" t="s">
        <v>163</v>
      </c>
      <c r="C74">
        <v>10.199999999999999</v>
      </c>
      <c r="D74" t="s">
        <v>22</v>
      </c>
      <c r="E74" t="s">
        <v>30</v>
      </c>
      <c r="F74" t="s">
        <v>11</v>
      </c>
      <c r="G74" t="s">
        <v>12</v>
      </c>
      <c r="H74" t="s">
        <v>164</v>
      </c>
    </row>
    <row r="75" spans="1:8" x14ac:dyDescent="0.25">
      <c r="A75" s="1">
        <v>46190</v>
      </c>
      <c r="B75" t="s">
        <v>165</v>
      </c>
      <c r="C75">
        <v>36</v>
      </c>
      <c r="D75" t="s">
        <v>22</v>
      </c>
      <c r="E75" t="s">
        <v>30</v>
      </c>
      <c r="F75" t="s">
        <v>11</v>
      </c>
      <c r="G75" t="s">
        <v>12</v>
      </c>
      <c r="H75" t="s">
        <v>166</v>
      </c>
    </row>
    <row r="76" spans="1:8" x14ac:dyDescent="0.25">
      <c r="A76" s="1">
        <v>46190</v>
      </c>
      <c r="B76" t="s">
        <v>167</v>
      </c>
      <c r="C76">
        <v>106</v>
      </c>
      <c r="D76" t="s">
        <v>22</v>
      </c>
      <c r="E76" t="s">
        <v>10</v>
      </c>
      <c r="F76" t="s">
        <v>11</v>
      </c>
      <c r="G76" t="s">
        <v>12</v>
      </c>
      <c r="H76" t="s">
        <v>168</v>
      </c>
    </row>
    <row r="77" spans="1:8" x14ac:dyDescent="0.25">
      <c r="A77" s="1">
        <v>46190</v>
      </c>
      <c r="B77" t="s">
        <v>169</v>
      </c>
      <c r="C77">
        <v>64</v>
      </c>
      <c r="D77" t="s">
        <v>22</v>
      </c>
      <c r="E77" t="s">
        <v>30</v>
      </c>
      <c r="F77" t="s">
        <v>11</v>
      </c>
      <c r="G77" t="s">
        <v>71</v>
      </c>
      <c r="H77" t="s">
        <v>170</v>
      </c>
    </row>
    <row r="78" spans="1:8" x14ac:dyDescent="0.25">
      <c r="A78" s="1">
        <v>46191</v>
      </c>
      <c r="B78" t="s">
        <v>171</v>
      </c>
      <c r="C78">
        <v>36</v>
      </c>
      <c r="D78" t="s">
        <v>22</v>
      </c>
      <c r="E78" t="s">
        <v>10</v>
      </c>
      <c r="F78" t="s">
        <v>145</v>
      </c>
      <c r="H78" t="s">
        <v>172</v>
      </c>
    </row>
    <row r="79" spans="1:8" x14ac:dyDescent="0.25">
      <c r="A79" s="1">
        <v>46191</v>
      </c>
      <c r="B79" t="s">
        <v>173</v>
      </c>
      <c r="C79">
        <v>23.8</v>
      </c>
      <c r="D79" t="s">
        <v>22</v>
      </c>
      <c r="E79" t="s">
        <v>10</v>
      </c>
      <c r="F79" t="s">
        <v>145</v>
      </c>
      <c r="H79" t="s">
        <v>174</v>
      </c>
    </row>
    <row r="80" spans="1:8" x14ac:dyDescent="0.25">
      <c r="A80" s="1">
        <v>46191</v>
      </c>
      <c r="B80" t="s">
        <v>175</v>
      </c>
      <c r="C80">
        <v>29.12</v>
      </c>
      <c r="D80" t="s">
        <v>22</v>
      </c>
      <c r="E80" t="s">
        <v>30</v>
      </c>
      <c r="F80" t="s">
        <v>11</v>
      </c>
      <c r="G80" t="s">
        <v>12</v>
      </c>
      <c r="H80" t="s">
        <v>176</v>
      </c>
    </row>
    <row r="81" spans="1:8" x14ac:dyDescent="0.25">
      <c r="A81" s="1">
        <v>46191</v>
      </c>
      <c r="B81" t="s">
        <v>177</v>
      </c>
      <c r="C81">
        <v>7</v>
      </c>
      <c r="D81" t="s">
        <v>22</v>
      </c>
      <c r="E81" t="s">
        <v>45</v>
      </c>
      <c r="F81" t="s">
        <v>11</v>
      </c>
      <c r="G81" t="s">
        <v>71</v>
      </c>
      <c r="H81" t="s">
        <v>178</v>
      </c>
    </row>
    <row r="82" spans="1:8" x14ac:dyDescent="0.25">
      <c r="A82" s="1">
        <v>46191</v>
      </c>
      <c r="B82" t="s">
        <v>179</v>
      </c>
      <c r="C82">
        <v>60</v>
      </c>
      <c r="D82" t="s">
        <v>22</v>
      </c>
      <c r="E82" t="s">
        <v>10</v>
      </c>
      <c r="F82" t="s">
        <v>11</v>
      </c>
      <c r="G82" t="s">
        <v>71</v>
      </c>
      <c r="H82" t="s">
        <v>180</v>
      </c>
    </row>
    <row r="83" spans="1:8" x14ac:dyDescent="0.25">
      <c r="A83" s="1">
        <v>46191</v>
      </c>
      <c r="B83" t="s">
        <v>181</v>
      </c>
      <c r="C83">
        <v>6.8</v>
      </c>
      <c r="D83" t="s">
        <v>22</v>
      </c>
      <c r="E83" t="s">
        <v>30</v>
      </c>
      <c r="F83" t="s">
        <v>11</v>
      </c>
      <c r="G83" t="s">
        <v>12</v>
      </c>
      <c r="H83" t="s">
        <v>182</v>
      </c>
    </row>
    <row r="84" spans="1:8" x14ac:dyDescent="0.25">
      <c r="A84" s="1">
        <v>46191</v>
      </c>
      <c r="B84" t="s">
        <v>183</v>
      </c>
      <c r="C84">
        <v>102</v>
      </c>
      <c r="D84" t="s">
        <v>22</v>
      </c>
      <c r="E84" t="s">
        <v>10</v>
      </c>
      <c r="F84" t="s">
        <v>11</v>
      </c>
      <c r="G84" t="s">
        <v>12</v>
      </c>
      <c r="H84" t="s">
        <v>184</v>
      </c>
    </row>
    <row r="85" spans="1:8" x14ac:dyDescent="0.25">
      <c r="A85" s="1">
        <v>46191</v>
      </c>
      <c r="B85" t="s">
        <v>185</v>
      </c>
      <c r="C85">
        <v>2100</v>
      </c>
      <c r="D85" t="s">
        <v>9</v>
      </c>
      <c r="E85" t="s">
        <v>185</v>
      </c>
      <c r="F85" t="s">
        <v>186</v>
      </c>
      <c r="H85" t="s">
        <v>187</v>
      </c>
    </row>
    <row r="86" spans="1:8" x14ac:dyDescent="0.25">
      <c r="A86" s="1">
        <v>46191</v>
      </c>
      <c r="B86" t="s">
        <v>181</v>
      </c>
      <c r="C86">
        <v>9.6</v>
      </c>
      <c r="D86" t="s">
        <v>22</v>
      </c>
      <c r="E86" t="s">
        <v>10</v>
      </c>
      <c r="F86" t="s">
        <v>11</v>
      </c>
      <c r="G86" t="s">
        <v>12</v>
      </c>
      <c r="H86" t="s">
        <v>188</v>
      </c>
    </row>
    <row r="87" spans="1:8" x14ac:dyDescent="0.25">
      <c r="A87" s="1">
        <v>46192</v>
      </c>
      <c r="B87" t="s">
        <v>189</v>
      </c>
      <c r="C87">
        <v>160</v>
      </c>
      <c r="D87" t="s">
        <v>22</v>
      </c>
      <c r="E87" t="s">
        <v>185</v>
      </c>
      <c r="F87" t="s">
        <v>11</v>
      </c>
      <c r="G87" t="s">
        <v>56</v>
      </c>
      <c r="H87" t="s">
        <v>190</v>
      </c>
    </row>
    <row r="88" spans="1:8" x14ac:dyDescent="0.25">
      <c r="A88" s="1">
        <v>46192</v>
      </c>
      <c r="B88" t="s">
        <v>191</v>
      </c>
      <c r="C88">
        <v>26.8</v>
      </c>
      <c r="D88" t="s">
        <v>22</v>
      </c>
      <c r="E88" t="s">
        <v>185</v>
      </c>
      <c r="F88" t="s">
        <v>19</v>
      </c>
      <c r="H88" t="s">
        <v>192</v>
      </c>
    </row>
    <row r="89" spans="1:8" x14ac:dyDescent="0.25">
      <c r="A89" s="1">
        <v>46192</v>
      </c>
      <c r="B89" t="s">
        <v>193</v>
      </c>
      <c r="C89">
        <v>10.6</v>
      </c>
      <c r="D89" t="s">
        <v>22</v>
      </c>
      <c r="E89" t="s">
        <v>185</v>
      </c>
      <c r="F89" t="s">
        <v>11</v>
      </c>
      <c r="G89" t="s">
        <v>12</v>
      </c>
      <c r="H89" t="s">
        <v>194</v>
      </c>
    </row>
    <row r="90" spans="1:8" x14ac:dyDescent="0.25">
      <c r="A90" s="1">
        <v>46192</v>
      </c>
      <c r="B90" t="s">
        <v>193</v>
      </c>
      <c r="C90">
        <v>39.700000000000003</v>
      </c>
      <c r="D90" t="s">
        <v>22</v>
      </c>
      <c r="E90" t="s">
        <v>185</v>
      </c>
      <c r="F90" t="s">
        <v>66</v>
      </c>
      <c r="H90" t="s">
        <v>195</v>
      </c>
    </row>
    <row r="91" spans="1:8" x14ac:dyDescent="0.25">
      <c r="A91" s="1">
        <v>46192</v>
      </c>
      <c r="B91" t="s">
        <v>196</v>
      </c>
      <c r="C91">
        <v>2.4</v>
      </c>
      <c r="D91" t="s">
        <v>22</v>
      </c>
      <c r="E91" t="s">
        <v>185</v>
      </c>
      <c r="F91" t="s">
        <v>11</v>
      </c>
      <c r="G91" t="s">
        <v>56</v>
      </c>
      <c r="H91" t="s">
        <v>197</v>
      </c>
    </row>
    <row r="92" spans="1:8" x14ac:dyDescent="0.25">
      <c r="A92" s="1">
        <v>46192</v>
      </c>
      <c r="B92" t="s">
        <v>196</v>
      </c>
      <c r="C92">
        <v>7.2</v>
      </c>
      <c r="D92" t="s">
        <v>22</v>
      </c>
      <c r="E92" t="s">
        <v>185</v>
      </c>
      <c r="F92" t="s">
        <v>11</v>
      </c>
      <c r="G92" t="s">
        <v>56</v>
      </c>
      <c r="H92" t="s">
        <v>197</v>
      </c>
    </row>
    <row r="93" spans="1:8" x14ac:dyDescent="0.25">
      <c r="A93" s="1">
        <v>46192</v>
      </c>
      <c r="B93" t="s">
        <v>198</v>
      </c>
      <c r="C93">
        <v>23</v>
      </c>
      <c r="D93" t="s">
        <v>22</v>
      </c>
      <c r="E93" t="s">
        <v>185</v>
      </c>
      <c r="F93" t="s">
        <v>11</v>
      </c>
      <c r="G93" t="s">
        <v>23</v>
      </c>
      <c r="H93" t="s">
        <v>199</v>
      </c>
    </row>
    <row r="94" spans="1:8" x14ac:dyDescent="0.25">
      <c r="A94" s="1">
        <v>46193</v>
      </c>
      <c r="B94" t="s">
        <v>200</v>
      </c>
      <c r="C94">
        <v>9.3000000000000007</v>
      </c>
      <c r="D94" t="s">
        <v>22</v>
      </c>
      <c r="E94" t="s">
        <v>201</v>
      </c>
      <c r="F94" t="s">
        <v>202</v>
      </c>
      <c r="G94" t="s">
        <v>203</v>
      </c>
      <c r="H94" t="s">
        <v>204</v>
      </c>
    </row>
    <row r="95" spans="1:8" x14ac:dyDescent="0.25">
      <c r="A95" s="1">
        <v>46194</v>
      </c>
      <c r="B95" t="s">
        <v>196</v>
      </c>
      <c r="C95">
        <v>2.4</v>
      </c>
      <c r="D95" t="s">
        <v>22</v>
      </c>
      <c r="E95" t="s">
        <v>185</v>
      </c>
      <c r="F95" t="s">
        <v>11</v>
      </c>
      <c r="G95" t="s">
        <v>56</v>
      </c>
      <c r="H95" t="s">
        <v>205</v>
      </c>
    </row>
    <row r="96" spans="1:8" x14ac:dyDescent="0.25">
      <c r="A96" s="1">
        <v>46194</v>
      </c>
      <c r="B96" t="s">
        <v>196</v>
      </c>
      <c r="C96">
        <v>7.2</v>
      </c>
      <c r="D96" t="s">
        <v>22</v>
      </c>
      <c r="E96" t="s">
        <v>185</v>
      </c>
      <c r="F96" t="s">
        <v>11</v>
      </c>
      <c r="G96" t="s">
        <v>56</v>
      </c>
      <c r="H96" t="s">
        <v>206</v>
      </c>
    </row>
    <row r="97" spans="1:8" x14ac:dyDescent="0.25">
      <c r="A97" s="1">
        <v>46194</v>
      </c>
      <c r="B97" t="s">
        <v>196</v>
      </c>
      <c r="C97">
        <v>2.2999999999999998</v>
      </c>
      <c r="D97" t="s">
        <v>22</v>
      </c>
      <c r="E97" t="s">
        <v>185</v>
      </c>
      <c r="F97" t="s">
        <v>11</v>
      </c>
      <c r="G97" t="s">
        <v>56</v>
      </c>
      <c r="H97" t="s">
        <v>206</v>
      </c>
    </row>
    <row r="98" spans="1:8" x14ac:dyDescent="0.25">
      <c r="A98" s="1">
        <v>46194</v>
      </c>
      <c r="B98" t="s">
        <v>196</v>
      </c>
      <c r="C98">
        <v>4.5999999999999996</v>
      </c>
      <c r="D98" t="s">
        <v>22</v>
      </c>
      <c r="E98" t="s">
        <v>185</v>
      </c>
      <c r="F98" t="s">
        <v>11</v>
      </c>
      <c r="G98" t="s">
        <v>56</v>
      </c>
      <c r="H98" t="s">
        <v>206</v>
      </c>
    </row>
    <row r="99" spans="1:8" x14ac:dyDescent="0.25">
      <c r="A99" s="1">
        <v>46194</v>
      </c>
      <c r="B99" t="s">
        <v>207</v>
      </c>
      <c r="C99">
        <v>2.4</v>
      </c>
      <c r="D99" t="s">
        <v>22</v>
      </c>
      <c r="E99" t="s">
        <v>185</v>
      </c>
      <c r="F99" t="s">
        <v>11</v>
      </c>
      <c r="G99" t="s">
        <v>56</v>
      </c>
      <c r="H99" t="s">
        <v>206</v>
      </c>
    </row>
    <row r="100" spans="1:8" x14ac:dyDescent="0.25">
      <c r="A100" s="1">
        <v>46194</v>
      </c>
      <c r="B100" t="s">
        <v>208</v>
      </c>
      <c r="C100">
        <v>52</v>
      </c>
      <c r="D100" t="s">
        <v>22</v>
      </c>
      <c r="E100" t="s">
        <v>185</v>
      </c>
      <c r="F100" t="s">
        <v>11</v>
      </c>
      <c r="G100" t="s">
        <v>56</v>
      </c>
      <c r="H100" t="s">
        <v>209</v>
      </c>
    </row>
    <row r="101" spans="1:8" x14ac:dyDescent="0.25">
      <c r="A101" s="1">
        <v>46194</v>
      </c>
      <c r="B101" t="s">
        <v>210</v>
      </c>
      <c r="C101">
        <v>59.4</v>
      </c>
      <c r="D101" t="s">
        <v>22</v>
      </c>
      <c r="E101" t="s">
        <v>185</v>
      </c>
      <c r="F101" t="s">
        <v>11</v>
      </c>
      <c r="G101" t="s">
        <v>12</v>
      </c>
      <c r="H101" t="s">
        <v>211</v>
      </c>
    </row>
    <row r="102" spans="1:8" x14ac:dyDescent="0.25">
      <c r="A102" s="1">
        <v>46195</v>
      </c>
      <c r="B102" t="s">
        <v>65</v>
      </c>
      <c r="C102">
        <v>225.3</v>
      </c>
      <c r="D102" t="s">
        <v>22</v>
      </c>
      <c r="E102" t="s">
        <v>185</v>
      </c>
      <c r="F102" t="s">
        <v>66</v>
      </c>
      <c r="H102" t="s">
        <v>212</v>
      </c>
    </row>
    <row r="103" spans="1:8" x14ac:dyDescent="0.25">
      <c r="A103" s="1">
        <v>46195</v>
      </c>
      <c r="B103" t="s">
        <v>213</v>
      </c>
      <c r="C103">
        <v>14.2</v>
      </c>
      <c r="D103" t="s">
        <v>22</v>
      </c>
      <c r="E103" t="s">
        <v>45</v>
      </c>
      <c r="F103" t="s">
        <v>11</v>
      </c>
      <c r="G103" t="s">
        <v>56</v>
      </c>
      <c r="H103" t="s">
        <v>214</v>
      </c>
    </row>
    <row r="104" spans="1:8" x14ac:dyDescent="0.25">
      <c r="A104" s="1">
        <v>46195</v>
      </c>
      <c r="B104" t="s">
        <v>215</v>
      </c>
      <c r="C104">
        <v>2</v>
      </c>
      <c r="D104" t="s">
        <v>22</v>
      </c>
      <c r="E104" t="s">
        <v>185</v>
      </c>
      <c r="F104" t="s">
        <v>11</v>
      </c>
      <c r="G104" t="s">
        <v>12</v>
      </c>
      <c r="H104" t="s">
        <v>216</v>
      </c>
    </row>
    <row r="105" spans="1:8" x14ac:dyDescent="0.25">
      <c r="A105" s="1">
        <v>46195</v>
      </c>
      <c r="B105" t="s">
        <v>217</v>
      </c>
      <c r="C105">
        <v>48.4</v>
      </c>
      <c r="D105" t="s">
        <v>22</v>
      </c>
      <c r="E105" t="s">
        <v>185</v>
      </c>
      <c r="F105" t="s">
        <v>11</v>
      </c>
      <c r="G105" t="s">
        <v>12</v>
      </c>
      <c r="H105" t="s">
        <v>218</v>
      </c>
    </row>
    <row r="106" spans="1:8" x14ac:dyDescent="0.25">
      <c r="A106" s="1">
        <v>46195</v>
      </c>
      <c r="B106" t="s">
        <v>219</v>
      </c>
      <c r="C106">
        <v>12.5</v>
      </c>
      <c r="D106" t="s">
        <v>22</v>
      </c>
      <c r="E106" t="s">
        <v>185</v>
      </c>
      <c r="F106" t="s">
        <v>11</v>
      </c>
      <c r="G106" t="s">
        <v>12</v>
      </c>
      <c r="H106" t="s">
        <v>220</v>
      </c>
    </row>
    <row r="107" spans="1:8" x14ac:dyDescent="0.25">
      <c r="A107" s="1">
        <v>46195</v>
      </c>
      <c r="B107" t="s">
        <v>221</v>
      </c>
      <c r="C107">
        <v>0.6996</v>
      </c>
      <c r="D107" t="s">
        <v>22</v>
      </c>
      <c r="E107" t="s">
        <v>185</v>
      </c>
      <c r="F107" t="s">
        <v>37</v>
      </c>
      <c r="G107" t="s">
        <v>38</v>
      </c>
      <c r="H107" t="s">
        <v>222</v>
      </c>
    </row>
    <row r="108" spans="1:8" x14ac:dyDescent="0.25">
      <c r="A108" s="1">
        <v>46195</v>
      </c>
      <c r="B108" t="s">
        <v>223</v>
      </c>
      <c r="C108">
        <v>37.06</v>
      </c>
      <c r="D108" t="s">
        <v>22</v>
      </c>
      <c r="E108" t="s">
        <v>185</v>
      </c>
      <c r="F108" t="s">
        <v>66</v>
      </c>
      <c r="H108" t="s">
        <v>224</v>
      </c>
    </row>
    <row r="109" spans="1:8" x14ac:dyDescent="0.25">
      <c r="A109" s="1">
        <v>46195</v>
      </c>
      <c r="B109" t="s">
        <v>225</v>
      </c>
      <c r="C109">
        <v>32.979999999999997</v>
      </c>
      <c r="D109" t="s">
        <v>22</v>
      </c>
      <c r="E109" t="s">
        <v>10</v>
      </c>
      <c r="F109" t="s">
        <v>66</v>
      </c>
      <c r="H109" t="s">
        <v>226</v>
      </c>
    </row>
    <row r="110" spans="1:8" x14ac:dyDescent="0.25">
      <c r="A110" s="1">
        <v>46195</v>
      </c>
      <c r="B110" t="s">
        <v>227</v>
      </c>
      <c r="C110">
        <v>10</v>
      </c>
      <c r="D110" t="s">
        <v>22</v>
      </c>
      <c r="E110" t="s">
        <v>10</v>
      </c>
      <c r="F110" t="s">
        <v>11</v>
      </c>
      <c r="G110" t="s">
        <v>12</v>
      </c>
      <c r="H110" t="s">
        <v>228</v>
      </c>
    </row>
    <row r="111" spans="1:8" x14ac:dyDescent="0.25">
      <c r="A111" s="1">
        <v>46195</v>
      </c>
      <c r="B111" t="s">
        <v>229</v>
      </c>
      <c r="C111">
        <v>39.57</v>
      </c>
      <c r="D111" t="s">
        <v>22</v>
      </c>
      <c r="E111" t="s">
        <v>185</v>
      </c>
      <c r="F111" t="s">
        <v>19</v>
      </c>
      <c r="H111" t="s">
        <v>230</v>
      </c>
    </row>
    <row r="112" spans="1:8" x14ac:dyDescent="0.25">
      <c r="A112" s="1">
        <v>46195</v>
      </c>
      <c r="B112" t="s">
        <v>231</v>
      </c>
      <c r="C112">
        <v>423</v>
      </c>
      <c r="D112" t="s">
        <v>22</v>
      </c>
      <c r="E112" t="s">
        <v>10</v>
      </c>
      <c r="F112" t="s">
        <v>232</v>
      </c>
      <c r="H112" t="s">
        <v>233</v>
      </c>
    </row>
    <row r="113" spans="1:8" x14ac:dyDescent="0.25">
      <c r="A113" s="1">
        <v>46178</v>
      </c>
      <c r="B113" t="s">
        <v>234</v>
      </c>
      <c r="C113">
        <v>89.5</v>
      </c>
      <c r="D113" t="s">
        <v>22</v>
      </c>
      <c r="E113" t="s">
        <v>10</v>
      </c>
      <c r="F113" t="s">
        <v>11</v>
      </c>
      <c r="G113" t="s">
        <v>12</v>
      </c>
      <c r="H113" t="s">
        <v>235</v>
      </c>
    </row>
    <row r="114" spans="1:8" x14ac:dyDescent="0.25">
      <c r="A114" s="1">
        <v>46196</v>
      </c>
      <c r="B114" t="s">
        <v>55</v>
      </c>
      <c r="C114">
        <v>55</v>
      </c>
      <c r="D114" t="s">
        <v>22</v>
      </c>
      <c r="E114" t="s">
        <v>45</v>
      </c>
      <c r="F114" t="s">
        <v>11</v>
      </c>
      <c r="G114" t="s">
        <v>56</v>
      </c>
      <c r="H114" t="s">
        <v>236</v>
      </c>
    </row>
    <row r="115" spans="1:8" x14ac:dyDescent="0.25">
      <c r="A115" s="1">
        <v>46178</v>
      </c>
      <c r="B115" t="s">
        <v>237</v>
      </c>
      <c r="C115">
        <v>16.95</v>
      </c>
      <c r="D115" t="s">
        <v>22</v>
      </c>
      <c r="E115" t="s">
        <v>10</v>
      </c>
      <c r="F115" t="s">
        <v>11</v>
      </c>
      <c r="G115" t="s">
        <v>71</v>
      </c>
      <c r="H115" t="s">
        <v>238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3BBD-5907-41BB-BAEA-E5CAC0EAEC55}">
  <dimension ref="A1:E19"/>
  <sheetViews>
    <sheetView showGridLines="0" workbookViewId="0">
      <selection activeCell="E7" sqref="E7"/>
    </sheetView>
  </sheetViews>
  <sheetFormatPr defaultRowHeight="15" x14ac:dyDescent="0.25"/>
  <cols>
    <col min="1" max="1" width="15.85546875" bestFit="1" customWidth="1"/>
    <col min="2" max="2" width="10.28515625" bestFit="1" customWidth="1"/>
    <col min="4" max="4" width="15.28515625" bestFit="1" customWidth="1"/>
    <col min="5" max="5" width="12.28515625" bestFit="1" customWidth="1"/>
    <col min="6" max="6" width="11.28515625" bestFit="1" customWidth="1"/>
  </cols>
  <sheetData>
    <row r="1" spans="1:5" x14ac:dyDescent="0.25">
      <c r="A1" t="s">
        <v>239</v>
      </c>
    </row>
    <row r="2" spans="1:5" x14ac:dyDescent="0.25">
      <c r="A2" t="s">
        <v>240</v>
      </c>
      <c r="B2" s="1">
        <v>46178</v>
      </c>
    </row>
    <row r="3" spans="1:5" x14ac:dyDescent="0.25">
      <c r="A3" t="s">
        <v>241</v>
      </c>
      <c r="B3" s="1">
        <v>46196</v>
      </c>
      <c r="D3" s="3" t="s">
        <v>3</v>
      </c>
      <c r="E3" t="s">
        <v>22</v>
      </c>
    </row>
    <row r="4" spans="1:5" x14ac:dyDescent="0.25">
      <c r="A4" t="s">
        <v>242</v>
      </c>
    </row>
    <row r="5" spans="1:5" x14ac:dyDescent="0.25">
      <c r="A5" t="s">
        <v>22</v>
      </c>
      <c r="B5" s="2" cm="1">
        <f t="array" ref="B5">SUM(_xlfn._xlws.FILTER(Money[Valor],(Money[[Moeda ]]=A5)*(Money[Data]&gt;=Início)*(Money[Data]&lt;=Fim)))</f>
        <v>7497.9295999999986</v>
      </c>
      <c r="D5" s="3" t="s">
        <v>243</v>
      </c>
      <c r="E5" t="s">
        <v>244</v>
      </c>
    </row>
    <row r="6" spans="1:5" x14ac:dyDescent="0.25">
      <c r="A6" t="s">
        <v>9</v>
      </c>
      <c r="B6" s="2" cm="1">
        <f t="array" ref="B6">SUM(_xlfn._xlws.FILTER(Money[Valor],(Money[[Moeda ]]=A6)*(Money[Data]&gt;=Início)*(Money[Data]&lt;=Fim),0))</f>
        <v>2100</v>
      </c>
      <c r="D6" s="4" t="s">
        <v>11</v>
      </c>
      <c r="E6" s="6">
        <v>5445.57</v>
      </c>
    </row>
    <row r="7" spans="1:5" x14ac:dyDescent="0.25">
      <c r="D7" s="5" t="s">
        <v>23</v>
      </c>
      <c r="E7" s="6">
        <v>3115.3199999999997</v>
      </c>
    </row>
    <row r="8" spans="1:5" x14ac:dyDescent="0.25">
      <c r="D8" s="5" t="s">
        <v>12</v>
      </c>
      <c r="E8" s="6">
        <v>1363.6200000000001</v>
      </c>
    </row>
    <row r="9" spans="1:5" x14ac:dyDescent="0.25">
      <c r="D9" s="5" t="s">
        <v>71</v>
      </c>
      <c r="E9" s="6">
        <v>492.87</v>
      </c>
    </row>
    <row r="10" spans="1:5" x14ac:dyDescent="0.25">
      <c r="D10" s="5" t="s">
        <v>56</v>
      </c>
      <c r="E10" s="6">
        <v>473.76</v>
      </c>
    </row>
    <row r="11" spans="1:5" x14ac:dyDescent="0.25">
      <c r="D11" s="4" t="s">
        <v>66</v>
      </c>
      <c r="E11" s="6">
        <v>322.10000000000002</v>
      </c>
    </row>
    <row r="12" spans="1:5" x14ac:dyDescent="0.25">
      <c r="D12" s="5" t="s">
        <v>245</v>
      </c>
      <c r="E12" s="6">
        <v>322.10000000000002</v>
      </c>
    </row>
    <row r="13" spans="1:5" x14ac:dyDescent="0.25">
      <c r="D13" s="4" t="s">
        <v>145</v>
      </c>
      <c r="E13" s="6">
        <v>155.69999999999999</v>
      </c>
    </row>
    <row r="14" spans="1:5" x14ac:dyDescent="0.25">
      <c r="D14" s="5" t="s">
        <v>245</v>
      </c>
      <c r="E14" s="6">
        <v>155.69999999999999</v>
      </c>
    </row>
    <row r="15" spans="1:5" x14ac:dyDescent="0.25">
      <c r="D15" s="4" t="s">
        <v>37</v>
      </c>
      <c r="E15" s="6">
        <v>34.5</v>
      </c>
    </row>
    <row r="16" spans="1:5" x14ac:dyDescent="0.25">
      <c r="D16" s="5" t="s">
        <v>38</v>
      </c>
      <c r="E16" s="6">
        <v>34.5</v>
      </c>
    </row>
    <row r="17" spans="4:5" x14ac:dyDescent="0.25">
      <c r="D17" s="4" t="s">
        <v>159</v>
      </c>
      <c r="E17" s="6">
        <v>12</v>
      </c>
    </row>
    <row r="18" spans="4:5" x14ac:dyDescent="0.25">
      <c r="D18" s="5" t="s">
        <v>245</v>
      </c>
      <c r="E18" s="6">
        <v>12</v>
      </c>
    </row>
    <row r="19" spans="4:5" x14ac:dyDescent="0.25">
      <c r="D19" s="4" t="s">
        <v>246</v>
      </c>
      <c r="E19" s="6">
        <v>5969.87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Painel</vt:lpstr>
      <vt:lpstr>Fim</vt:lpstr>
      <vt:lpstr>Início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Euben Monteiro</dc:creator>
  <cp:keywords/>
  <dc:description/>
  <cp:lastModifiedBy>Euben Monteiro</cp:lastModifiedBy>
  <cp:revision/>
  <dcterms:created xsi:type="dcterms:W3CDTF">2026-06-08T07:32:46Z</dcterms:created>
  <dcterms:modified xsi:type="dcterms:W3CDTF">2026-06-26T22:39:57Z</dcterms:modified>
  <cp:category/>
  <cp:contentStatus/>
</cp:coreProperties>
</file>